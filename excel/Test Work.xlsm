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ctor Veiga\Desktop\"/>
    </mc:Choice>
  </mc:AlternateContent>
  <bookViews>
    <workbookView xWindow="0" yWindow="0" windowWidth="24000" windowHeight="10140"/>
  </bookViews>
  <sheets>
    <sheet name="Sheet1" sheetId="1" r:id="rId1"/>
  </sheets>
  <functionGroups builtInGroupCount="18"/>
  <definedNames>
    <definedName name="solver_adj" localSheetId="0" hidden="1">Sheet1!$G$2:$G$3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Sheet1!$G$2</definedName>
    <definedName name="solver_lhs2" localSheetId="0" hidden="1">Sheet1!$G$2</definedName>
    <definedName name="solver_lhs3" localSheetId="0" hidden="1">Sheet1!$G$3</definedName>
    <definedName name="solver_lhs4" localSheetId="0" hidden="1">Sheet1!$N$7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Sheet1!$N$6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hs1" localSheetId="0" hidden="1">25</definedName>
    <definedName name="solver_rhs2" localSheetId="0" hidden="1">1</definedName>
    <definedName name="solver_rhs3" localSheetId="0" hidden="1">0</definedName>
    <definedName name="solver_rhs4" localSheetId="0" hidden="1">0.08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0.08</definedName>
    <definedName name="solver_ver" localSheetId="0" hidden="1">3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" l="1"/>
  <c r="R6" i="1"/>
  <c r="R7" i="1" s="1"/>
  <c r="R8" i="1" s="1"/>
  <c r="R9" i="1" s="1"/>
  <c r="R4" i="1"/>
  <c r="U2" i="1"/>
  <c r="V2" i="1"/>
  <c r="W2" i="1" s="1"/>
  <c r="T2" i="1"/>
  <c r="N9" i="1"/>
  <c r="N8" i="1"/>
  <c r="M9" i="1"/>
  <c r="M8" i="1"/>
  <c r="AB46" i="1" l="1"/>
  <c r="AA46" i="1" s="1"/>
  <c r="Z46" i="1" s="1"/>
  <c r="Y46" i="1" s="1"/>
  <c r="X46" i="1" s="1"/>
  <c r="W46" i="1" s="1"/>
  <c r="V46" i="1" s="1"/>
  <c r="U46" i="1" s="1"/>
  <c r="T46" i="1" s="1"/>
  <c r="S46" i="1" s="1"/>
  <c r="R46" i="1" s="1"/>
  <c r="Q46" i="1" s="1"/>
  <c r="P46" i="1" s="1"/>
  <c r="O46" i="1" s="1"/>
  <c r="N46" i="1" s="1"/>
  <c r="M46" i="1" s="1"/>
  <c r="L46" i="1" s="1"/>
  <c r="K46" i="1" s="1"/>
  <c r="J46" i="1" s="1"/>
  <c r="I46" i="1" s="1"/>
  <c r="H46" i="1" s="1"/>
  <c r="G46" i="1" s="1"/>
  <c r="F46" i="1" s="1"/>
  <c r="E46" i="1" s="1"/>
  <c r="D46" i="1" s="1"/>
  <c r="AC48" i="1"/>
  <c r="AB48" i="1" l="1"/>
  <c r="AA48" i="1" l="1"/>
  <c r="Z48" i="1" l="1"/>
  <c r="Y48" i="1" l="1"/>
  <c r="D47" i="1" l="1"/>
  <c r="B54" i="1" l="1"/>
  <c r="E11" i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D48" i="1"/>
  <c r="D41" i="1"/>
  <c r="E35" i="1"/>
  <c r="F35" i="1" s="1"/>
  <c r="G35" i="1" s="1"/>
  <c r="H35" i="1" s="1"/>
  <c r="I35" i="1" s="1"/>
  <c r="J35" i="1" s="1"/>
  <c r="K35" i="1" s="1"/>
  <c r="L35" i="1" s="1"/>
  <c r="M35" i="1" s="1"/>
  <c r="N35" i="1" s="1"/>
  <c r="O35" i="1" s="1"/>
  <c r="P35" i="1" s="1"/>
  <c r="Q35" i="1" s="1"/>
  <c r="D4" i="1"/>
  <c r="D5" i="1" s="1"/>
  <c r="D57" i="1" s="1"/>
  <c r="D59" i="1" s="1"/>
  <c r="R35" i="1" l="1"/>
  <c r="S35" i="1" s="1"/>
  <c r="O12" i="1"/>
  <c r="O45" i="1" s="1"/>
  <c r="O48" i="1" s="1"/>
  <c r="P11" i="1"/>
  <c r="E12" i="1"/>
  <c r="D53" i="1"/>
  <c r="E51" i="1" s="1"/>
  <c r="T35" i="1" l="1"/>
  <c r="U35" i="1" s="1"/>
  <c r="P12" i="1"/>
  <c r="P45" i="1" s="1"/>
  <c r="P48" i="1" s="1"/>
  <c r="Q11" i="1"/>
  <c r="Q12" i="1" s="1"/>
  <c r="Q45" i="1" s="1"/>
  <c r="Q48" i="1" s="1"/>
  <c r="E45" i="1"/>
  <c r="E54" i="1"/>
  <c r="E27" i="1" s="1"/>
  <c r="E13" i="1"/>
  <c r="G12" i="1"/>
  <c r="F12" i="1"/>
  <c r="E14" i="1" l="1"/>
  <c r="E38" i="1"/>
  <c r="E39" i="1" s="1"/>
  <c r="E48" i="1"/>
  <c r="E52" i="1" s="1"/>
  <c r="R11" i="1"/>
  <c r="R12" i="1" s="1"/>
  <c r="R45" i="1" s="1"/>
  <c r="R48" i="1" s="1"/>
  <c r="E15" i="1"/>
  <c r="E24" i="1"/>
  <c r="V35" i="1"/>
  <c r="F45" i="1"/>
  <c r="G45" i="1"/>
  <c r="F13" i="1"/>
  <c r="G13" i="1"/>
  <c r="H12" i="1"/>
  <c r="F14" i="1" l="1"/>
  <c r="G14" i="1" s="1"/>
  <c r="G38" i="1"/>
  <c r="G39" i="1" s="1"/>
  <c r="S11" i="1"/>
  <c r="S12" i="1" s="1"/>
  <c r="S45" i="1" s="1"/>
  <c r="S48" i="1" s="1"/>
  <c r="F15" i="1"/>
  <c r="G24" i="1" s="1"/>
  <c r="F38" i="1"/>
  <c r="F39" i="1" s="1"/>
  <c r="F24" i="1"/>
  <c r="W35" i="1"/>
  <c r="H45" i="1"/>
  <c r="I12" i="1"/>
  <c r="H13" i="1"/>
  <c r="H38" i="1" l="1"/>
  <c r="H39" i="1" s="1"/>
  <c r="H14" i="1"/>
  <c r="T11" i="1"/>
  <c r="T12" i="1" s="1"/>
  <c r="T45" i="1" s="1"/>
  <c r="T48" i="1" s="1"/>
  <c r="G15" i="1"/>
  <c r="H15" i="1" s="1"/>
  <c r="X35" i="1"/>
  <c r="Y35" i="1" s="1"/>
  <c r="Z35" i="1" s="1"/>
  <c r="AA35" i="1" s="1"/>
  <c r="AB35" i="1" s="1"/>
  <c r="AC35" i="1" s="1"/>
  <c r="I45" i="1"/>
  <c r="J12" i="1"/>
  <c r="I13" i="1"/>
  <c r="I38" i="1" l="1"/>
  <c r="I39" i="1" s="1"/>
  <c r="I14" i="1"/>
  <c r="U11" i="1"/>
  <c r="V11" i="1" s="1"/>
  <c r="H24" i="1"/>
  <c r="I24" i="1"/>
  <c r="J45" i="1"/>
  <c r="I15" i="1"/>
  <c r="K12" i="1"/>
  <c r="J13" i="1"/>
  <c r="J38" i="1" l="1"/>
  <c r="J39" i="1" s="1"/>
  <c r="J14" i="1"/>
  <c r="U12" i="1"/>
  <c r="U45" i="1" s="1"/>
  <c r="U48" i="1" s="1"/>
  <c r="J24" i="1"/>
  <c r="W11" i="1"/>
  <c r="W12" i="1" s="1"/>
  <c r="V12" i="1"/>
  <c r="J15" i="1"/>
  <c r="K13" i="1"/>
  <c r="K45" i="1"/>
  <c r="L12" i="1"/>
  <c r="K38" i="1" l="1"/>
  <c r="K39" i="1" s="1"/>
  <c r="K14" i="1"/>
  <c r="K24" i="1"/>
  <c r="V45" i="1"/>
  <c r="V48" i="1" s="1"/>
  <c r="W45" i="1"/>
  <c r="W48" i="1" s="1"/>
  <c r="X11" i="1"/>
  <c r="K15" i="1"/>
  <c r="L13" i="1"/>
  <c r="L38" i="1" s="1"/>
  <c r="L39" i="1" s="1"/>
  <c r="L45" i="1"/>
  <c r="M12" i="1"/>
  <c r="L14" i="1" l="1"/>
  <c r="X12" i="1"/>
  <c r="X45" i="1" s="1"/>
  <c r="Y11" i="1"/>
  <c r="Y12" i="1" s="1"/>
  <c r="L24" i="1"/>
  <c r="L15" i="1"/>
  <c r="M13" i="1"/>
  <c r="M38" i="1" s="1"/>
  <c r="M39" i="1" s="1"/>
  <c r="M45" i="1"/>
  <c r="N12" i="1"/>
  <c r="M14" i="1" l="1"/>
  <c r="Y45" i="1"/>
  <c r="Y13" i="1"/>
  <c r="Y38" i="1" s="1"/>
  <c r="Y39" i="1" s="1"/>
  <c r="Z11" i="1"/>
  <c r="Z12" i="1" s="1"/>
  <c r="X48" i="1"/>
  <c r="M24" i="1"/>
  <c r="O13" i="1"/>
  <c r="P13" i="1"/>
  <c r="W13" i="1"/>
  <c r="V13" i="1"/>
  <c r="Q13" i="1"/>
  <c r="U13" i="1"/>
  <c r="S13" i="1"/>
  <c r="R13" i="1"/>
  <c r="X13" i="1"/>
  <c r="T13" i="1"/>
  <c r="N45" i="1"/>
  <c r="M15" i="1"/>
  <c r="N13" i="1"/>
  <c r="N38" i="1" s="1"/>
  <c r="N39" i="1" s="1"/>
  <c r="N14" i="1" l="1"/>
  <c r="Z45" i="1"/>
  <c r="Z13" i="1"/>
  <c r="Z38" i="1" s="1"/>
  <c r="Z39" i="1" s="1"/>
  <c r="AA11" i="1"/>
  <c r="AA12" i="1" s="1"/>
  <c r="T38" i="1"/>
  <c r="T39" i="1" s="1"/>
  <c r="P38" i="1"/>
  <c r="P39" i="1" s="1"/>
  <c r="S38" i="1"/>
  <c r="S39" i="1" s="1"/>
  <c r="W38" i="1"/>
  <c r="W39" i="1" s="1"/>
  <c r="U38" i="1"/>
  <c r="U39" i="1" s="1"/>
  <c r="X38" i="1"/>
  <c r="X39" i="1" s="1"/>
  <c r="Q38" i="1"/>
  <c r="Q39" i="1" s="1"/>
  <c r="O38" i="1"/>
  <c r="O39" i="1" s="1"/>
  <c r="R38" i="1"/>
  <c r="R39" i="1" s="1"/>
  <c r="V38" i="1"/>
  <c r="V39" i="1" s="1"/>
  <c r="N24" i="1"/>
  <c r="N15" i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D6" i="1"/>
  <c r="O14" i="1" l="1"/>
  <c r="Y24" i="1"/>
  <c r="Z15" i="1"/>
  <c r="AA45" i="1"/>
  <c r="AA13" i="1"/>
  <c r="AA38" i="1" s="1"/>
  <c r="AA39" i="1" s="1"/>
  <c r="Z24" i="1"/>
  <c r="AB11" i="1"/>
  <c r="AB12" i="1" s="1"/>
  <c r="O24" i="1"/>
  <c r="V24" i="1"/>
  <c r="X24" i="1"/>
  <c r="W24" i="1"/>
  <c r="P24" i="1"/>
  <c r="R24" i="1"/>
  <c r="Q24" i="1"/>
  <c r="U24" i="1"/>
  <c r="S24" i="1"/>
  <c r="T24" i="1"/>
  <c r="F48" i="1"/>
  <c r="E53" i="1"/>
  <c r="G48" i="1"/>
  <c r="P14" i="1" l="1"/>
  <c r="AB45" i="1"/>
  <c r="AB13" i="1"/>
  <c r="AB38" i="1" s="1"/>
  <c r="AB39" i="1" s="1"/>
  <c r="AA24" i="1"/>
  <c r="AC11" i="1"/>
  <c r="AC12" i="1" s="1"/>
  <c r="AA15" i="1"/>
  <c r="F51" i="1"/>
  <c r="F54" i="1" s="1"/>
  <c r="F27" i="1" s="1"/>
  <c r="E30" i="1"/>
  <c r="E33" i="1" s="1"/>
  <c r="H48" i="1"/>
  <c r="Q14" i="1" l="1"/>
  <c r="AB15" i="1"/>
  <c r="AC15" i="1" s="1"/>
  <c r="AC45" i="1"/>
  <c r="D45" i="1" s="1"/>
  <c r="AC13" i="1"/>
  <c r="AC38" i="1" s="1"/>
  <c r="AC39" i="1" s="1"/>
  <c r="AB24" i="1"/>
  <c r="F52" i="1"/>
  <c r="F30" i="1" s="1"/>
  <c r="F33" i="1" s="1"/>
  <c r="I48" i="1"/>
  <c r="R14" i="1" l="1"/>
  <c r="AC24" i="1"/>
  <c r="F53" i="1"/>
  <c r="G51" i="1" s="1"/>
  <c r="J48" i="1"/>
  <c r="S14" i="1" l="1"/>
  <c r="G54" i="1"/>
  <c r="G27" i="1" s="1"/>
  <c r="G52" i="1"/>
  <c r="K48" i="1"/>
  <c r="T14" i="1" l="1"/>
  <c r="G30" i="1"/>
  <c r="G33" i="1" s="1"/>
  <c r="G53" i="1"/>
  <c r="H51" i="1" s="1"/>
  <c r="L48" i="1"/>
  <c r="U14" i="1" l="1"/>
  <c r="H52" i="1"/>
  <c r="H30" i="1" s="1"/>
  <c r="H54" i="1"/>
  <c r="M48" i="1"/>
  <c r="V14" i="1" l="1"/>
  <c r="H53" i="1"/>
  <c r="I51" i="1" s="1"/>
  <c r="I52" i="1" s="1"/>
  <c r="I30" i="1" s="1"/>
  <c r="H27" i="1"/>
  <c r="H33" i="1" s="1"/>
  <c r="N48" i="1"/>
  <c r="W14" i="1" l="1"/>
  <c r="I54" i="1"/>
  <c r="I27" i="1" s="1"/>
  <c r="I33" i="1" s="1"/>
  <c r="I53" i="1"/>
  <c r="J51" i="1" s="1"/>
  <c r="J52" i="1" s="1"/>
  <c r="X14" i="1" l="1"/>
  <c r="J30" i="1"/>
  <c r="J54" i="1"/>
  <c r="J27" i="1" s="1"/>
  <c r="Y14" i="1" l="1"/>
  <c r="J33" i="1"/>
  <c r="J53" i="1"/>
  <c r="K51" i="1" s="1"/>
  <c r="K52" i="1" s="1"/>
  <c r="Z14" i="1" l="1"/>
  <c r="K30" i="1"/>
  <c r="K54" i="1"/>
  <c r="K27" i="1" s="1"/>
  <c r="AA14" i="1" l="1"/>
  <c r="K33" i="1"/>
  <c r="K53" i="1"/>
  <c r="L51" i="1" s="1"/>
  <c r="L52" i="1" s="1"/>
  <c r="AB14" i="1" l="1"/>
  <c r="L30" i="1"/>
  <c r="L54" i="1"/>
  <c r="L27" i="1" s="1"/>
  <c r="AC14" i="1" l="1"/>
  <c r="AB37" i="1" s="1"/>
  <c r="AB40" i="1" s="1"/>
  <c r="AB41" i="1" s="1"/>
  <c r="AB42" i="1" s="1"/>
  <c r="L33" i="1"/>
  <c r="L53" i="1"/>
  <c r="M51" i="1" s="1"/>
  <c r="M52" i="1" s="1"/>
  <c r="X37" i="1" l="1"/>
  <c r="X40" i="1" s="1"/>
  <c r="X41" i="1" s="1"/>
  <c r="X42" i="1" s="1"/>
  <c r="W37" i="1"/>
  <c r="W40" i="1" s="1"/>
  <c r="W41" i="1" s="1"/>
  <c r="W42" i="1" s="1"/>
  <c r="AC37" i="1"/>
  <c r="AC40" i="1" s="1"/>
  <c r="AC41" i="1" s="1"/>
  <c r="AC42" i="1" s="1"/>
  <c r="E37" i="1"/>
  <c r="E40" i="1" s="1"/>
  <c r="E41" i="1" s="1"/>
  <c r="E42" i="1" s="1"/>
  <c r="E17" i="1" s="1"/>
  <c r="G37" i="1"/>
  <c r="G40" i="1" s="1"/>
  <c r="G41" i="1" s="1"/>
  <c r="G42" i="1" s="1"/>
  <c r="G17" i="1" s="1"/>
  <c r="F37" i="1"/>
  <c r="F40" i="1" s="1"/>
  <c r="F41" i="1" s="1"/>
  <c r="F42" i="1" s="1"/>
  <c r="F17" i="1" s="1"/>
  <c r="I37" i="1"/>
  <c r="I40" i="1" s="1"/>
  <c r="I41" i="1" s="1"/>
  <c r="I42" i="1" s="1"/>
  <c r="I17" i="1" s="1"/>
  <c r="H37" i="1"/>
  <c r="H40" i="1" s="1"/>
  <c r="H41" i="1" s="1"/>
  <c r="H42" i="1" s="1"/>
  <c r="H17" i="1" s="1"/>
  <c r="J37" i="1"/>
  <c r="J40" i="1" s="1"/>
  <c r="J41" i="1" s="1"/>
  <c r="J42" i="1" s="1"/>
  <c r="J17" i="1" s="1"/>
  <c r="K37" i="1"/>
  <c r="K40" i="1" s="1"/>
  <c r="K41" i="1" s="1"/>
  <c r="K42" i="1" s="1"/>
  <c r="K17" i="1" s="1"/>
  <c r="M37" i="1"/>
  <c r="M40" i="1" s="1"/>
  <c r="M41" i="1" s="1"/>
  <c r="M42" i="1" s="1"/>
  <c r="L37" i="1"/>
  <c r="L40" i="1" s="1"/>
  <c r="L41" i="1" s="1"/>
  <c r="L42" i="1" s="1"/>
  <c r="L17" i="1" s="1"/>
  <c r="N37" i="1"/>
  <c r="N40" i="1" s="1"/>
  <c r="N41" i="1" s="1"/>
  <c r="N42" i="1" s="1"/>
  <c r="O37" i="1"/>
  <c r="O40" i="1" s="1"/>
  <c r="O41" i="1" s="1"/>
  <c r="O42" i="1" s="1"/>
  <c r="P37" i="1"/>
  <c r="P40" i="1" s="1"/>
  <c r="P41" i="1" s="1"/>
  <c r="P42" i="1" s="1"/>
  <c r="Q37" i="1"/>
  <c r="Q40" i="1" s="1"/>
  <c r="Q41" i="1" s="1"/>
  <c r="Q42" i="1" s="1"/>
  <c r="T37" i="1"/>
  <c r="T40" i="1" s="1"/>
  <c r="T41" i="1" s="1"/>
  <c r="T42" i="1" s="1"/>
  <c r="R37" i="1"/>
  <c r="R40" i="1" s="1"/>
  <c r="R41" i="1" s="1"/>
  <c r="R42" i="1" s="1"/>
  <c r="S37" i="1"/>
  <c r="S40" i="1" s="1"/>
  <c r="S41" i="1" s="1"/>
  <c r="S42" i="1" s="1"/>
  <c r="Y37" i="1"/>
  <c r="Y40" i="1" s="1"/>
  <c r="Y41" i="1" s="1"/>
  <c r="Y42" i="1" s="1"/>
  <c r="AA37" i="1"/>
  <c r="AA40" i="1" s="1"/>
  <c r="AA41" i="1" s="1"/>
  <c r="AA42" i="1" s="1"/>
  <c r="Z37" i="1"/>
  <c r="Z40" i="1" s="1"/>
  <c r="Z41" i="1" s="1"/>
  <c r="Z42" i="1" s="1"/>
  <c r="V37" i="1"/>
  <c r="V40" i="1" s="1"/>
  <c r="V41" i="1" s="1"/>
  <c r="V42" i="1" s="1"/>
  <c r="U37" i="1"/>
  <c r="U40" i="1" s="1"/>
  <c r="U41" i="1" s="1"/>
  <c r="U42" i="1" s="1"/>
  <c r="M30" i="1"/>
  <c r="M54" i="1"/>
  <c r="M27" i="1" s="1"/>
  <c r="N4" i="1" l="1"/>
  <c r="N5" i="1"/>
  <c r="M33" i="1"/>
  <c r="M17" i="1" s="1"/>
  <c r="M53" i="1"/>
  <c r="N51" i="1" s="1"/>
  <c r="N52" i="1" s="1"/>
  <c r="E18" i="1" l="1"/>
  <c r="E19" i="1"/>
  <c r="N30" i="1"/>
  <c r="N54" i="1"/>
  <c r="N27" i="1" s="1"/>
  <c r="E20" i="1" l="1"/>
  <c r="F18" i="1" s="1"/>
  <c r="N33" i="1"/>
  <c r="N17" i="1" s="1"/>
  <c r="N53" i="1"/>
  <c r="O51" i="1" s="1"/>
  <c r="O52" i="1" s="1"/>
  <c r="E22" i="1" l="1"/>
  <c r="F19" i="1"/>
  <c r="F20" i="1" s="1"/>
  <c r="G18" i="1" s="1"/>
  <c r="O54" i="1"/>
  <c r="O27" i="1" s="1"/>
  <c r="G19" i="1" l="1"/>
  <c r="G20" i="1" s="1"/>
  <c r="G22" i="1" s="1"/>
  <c r="F22" i="1"/>
  <c r="O30" i="1"/>
  <c r="O33" i="1" s="1"/>
  <c r="O53" i="1"/>
  <c r="P51" i="1" s="1"/>
  <c r="P52" i="1" s="1"/>
  <c r="H18" i="1" l="1"/>
  <c r="H19" i="1"/>
  <c r="P30" i="1"/>
  <c r="P54" i="1"/>
  <c r="P27" i="1" s="1"/>
  <c r="H20" i="1" l="1"/>
  <c r="H22" i="1" s="1"/>
  <c r="P53" i="1"/>
  <c r="Q51" i="1" s="1"/>
  <c r="P33" i="1"/>
  <c r="I18" i="1" l="1"/>
  <c r="I19" i="1"/>
  <c r="Q52" i="1"/>
  <c r="Q53" i="1" s="1"/>
  <c r="R51" i="1" s="1"/>
  <c r="Q54" i="1"/>
  <c r="I20" i="1" l="1"/>
  <c r="J18" i="1" s="1"/>
  <c r="Q30" i="1"/>
  <c r="R54" i="1"/>
  <c r="R27" i="1" s="1"/>
  <c r="R52" i="1"/>
  <c r="R30" i="1" s="1"/>
  <c r="Q27" i="1"/>
  <c r="I22" i="1" l="1"/>
  <c r="J19" i="1"/>
  <c r="J20" i="1" s="1"/>
  <c r="Q33" i="1"/>
  <c r="R33" i="1"/>
  <c r="R53" i="1"/>
  <c r="S51" i="1" s="1"/>
  <c r="J22" i="1" l="1"/>
  <c r="K19" i="1"/>
  <c r="K18" i="1"/>
  <c r="S52" i="1"/>
  <c r="S30" i="1" s="1"/>
  <c r="S54" i="1"/>
  <c r="K20" i="1" l="1"/>
  <c r="S53" i="1"/>
  <c r="T51" i="1" s="1"/>
  <c r="T52" i="1" s="1"/>
  <c r="T30" i="1" s="1"/>
  <c r="S27" i="1"/>
  <c r="S33" i="1" s="1"/>
  <c r="L19" i="1" l="1"/>
  <c r="L18" i="1"/>
  <c r="K22" i="1"/>
  <c r="T54" i="1"/>
  <c r="T27" i="1" s="1"/>
  <c r="T33" i="1" s="1"/>
  <c r="T53" i="1"/>
  <c r="U51" i="1" s="1"/>
  <c r="L20" i="1" l="1"/>
  <c r="U54" i="1"/>
  <c r="U27" i="1" s="1"/>
  <c r="U52" i="1"/>
  <c r="U30" i="1" s="1"/>
  <c r="L22" i="1" l="1"/>
  <c r="M18" i="1"/>
  <c r="M19" i="1"/>
  <c r="U33" i="1"/>
  <c r="U53" i="1"/>
  <c r="V51" i="1" s="1"/>
  <c r="M20" i="1" l="1"/>
  <c r="N18" i="1" s="1"/>
  <c r="V54" i="1"/>
  <c r="V27" i="1" s="1"/>
  <c r="V52" i="1"/>
  <c r="V30" i="1" s="1"/>
  <c r="M22" i="1" l="1"/>
  <c r="N19" i="1"/>
  <c r="N20" i="1" s="1"/>
  <c r="O18" i="1" s="1"/>
  <c r="V33" i="1"/>
  <c r="V53" i="1"/>
  <c r="W51" i="1" s="1"/>
  <c r="N22" i="1" l="1"/>
  <c r="O19" i="1"/>
  <c r="W52" i="1"/>
  <c r="W30" i="1" s="1"/>
  <c r="W54" i="1"/>
  <c r="W53" i="1" l="1"/>
  <c r="X51" i="1" s="1"/>
  <c r="X54" i="1" s="1"/>
  <c r="X27" i="1" s="1"/>
  <c r="W27" i="1"/>
  <c r="W33" i="1" s="1"/>
  <c r="X52" i="1" l="1"/>
  <c r="B52" i="1" l="1"/>
  <c r="X30" i="1"/>
  <c r="X33" i="1" s="1"/>
  <c r="X53" i="1"/>
  <c r="Y51" i="1" s="1"/>
  <c r="Y54" i="1" l="1"/>
  <c r="Y27" i="1" s="1"/>
  <c r="Y52" i="1"/>
  <c r="Y30" i="1" s="1"/>
  <c r="Y33" i="1" l="1"/>
  <c r="Y53" i="1"/>
  <c r="Z51" i="1" s="1"/>
  <c r="Z54" i="1" l="1"/>
  <c r="Z27" i="1" s="1"/>
  <c r="Z52" i="1"/>
  <c r="Z30" i="1" s="1"/>
  <c r="Z33" i="1" l="1"/>
  <c r="Z53" i="1"/>
  <c r="AA51" i="1" s="1"/>
  <c r="AA54" i="1" l="1"/>
  <c r="AA27" i="1" s="1"/>
  <c r="AA52" i="1"/>
  <c r="AA30" i="1" s="1"/>
  <c r="AA33" i="1" l="1"/>
  <c r="AA53" i="1"/>
  <c r="AB51" i="1" s="1"/>
  <c r="AB54" i="1" l="1"/>
  <c r="AB27" i="1" s="1"/>
  <c r="AB52" i="1"/>
  <c r="AB30" i="1" s="1"/>
  <c r="AB33" i="1" l="1"/>
  <c r="AB53" i="1"/>
  <c r="AC51" i="1" s="1"/>
  <c r="AC54" i="1" l="1"/>
  <c r="AC27" i="1" s="1"/>
  <c r="AC52" i="1"/>
  <c r="AC30" i="1" s="1"/>
  <c r="AC33" i="1" l="1"/>
  <c r="AC53" i="1"/>
  <c r="F23" i="1"/>
  <c r="G25" i="1"/>
  <c r="I25" i="1"/>
  <c r="K25" i="1"/>
  <c r="K26" i="1" s="1"/>
  <c r="M25" i="1"/>
  <c r="E25" i="1"/>
  <c r="E34" i="1" s="1"/>
  <c r="L23" i="1" l="1"/>
  <c r="H23" i="1"/>
  <c r="N23" i="1"/>
  <c r="G26" i="1"/>
  <c r="G34" i="1"/>
  <c r="G29" i="1"/>
  <c r="G31" i="1" s="1"/>
  <c r="G58" i="1" s="1"/>
  <c r="G59" i="1" s="1"/>
  <c r="K23" i="1"/>
  <c r="I26" i="1"/>
  <c r="I34" i="1"/>
  <c r="K34" i="1"/>
  <c r="J23" i="1"/>
  <c r="K29" i="1"/>
  <c r="K31" i="1" s="1"/>
  <c r="K58" i="1" s="1"/>
  <c r="K59" i="1" s="1"/>
  <c r="J25" i="1"/>
  <c r="J26" i="1" s="1"/>
  <c r="E26" i="1"/>
  <c r="M26" i="1"/>
  <c r="M34" i="1"/>
  <c r="M29" i="1"/>
  <c r="M31" i="1" s="1"/>
  <c r="M58" i="1" s="1"/>
  <c r="M59" i="1" s="1"/>
  <c r="E29" i="1"/>
  <c r="E31" i="1" s="1"/>
  <c r="E58" i="1" s="1"/>
  <c r="E59" i="1" s="1"/>
  <c r="N25" i="1"/>
  <c r="N34" i="1" s="1"/>
  <c r="G23" i="1"/>
  <c r="I29" i="1"/>
  <c r="I31" i="1" s="1"/>
  <c r="I58" i="1" s="1"/>
  <c r="I59" i="1" s="1"/>
  <c r="F25" i="1"/>
  <c r="F34" i="1" s="1"/>
  <c r="M23" i="1"/>
  <c r="L25" i="1"/>
  <c r="I23" i="1"/>
  <c r="H25" i="1"/>
  <c r="E60" i="1" l="1"/>
  <c r="J34" i="1"/>
  <c r="J29" i="1"/>
  <c r="J31" i="1" s="1"/>
  <c r="J58" i="1" s="1"/>
  <c r="J59" i="1" s="1"/>
  <c r="N29" i="1"/>
  <c r="N31" i="1" s="1"/>
  <c r="N58" i="1" s="1"/>
  <c r="N59" i="1" s="1"/>
  <c r="F26" i="1"/>
  <c r="N26" i="1"/>
  <c r="F29" i="1"/>
  <c r="F31" i="1" s="1"/>
  <c r="F58" i="1" s="1"/>
  <c r="F59" i="1" s="1"/>
  <c r="L34" i="1"/>
  <c r="L29" i="1"/>
  <c r="L31" i="1" s="1"/>
  <c r="L58" i="1" s="1"/>
  <c r="L59" i="1" s="1"/>
  <c r="L26" i="1"/>
  <c r="H34" i="1"/>
  <c r="H26" i="1"/>
  <c r="H29" i="1"/>
  <c r="H31" i="1" s="1"/>
  <c r="H58" i="1" s="1"/>
  <c r="H59" i="1" s="1"/>
  <c r="G60" i="1" l="1"/>
  <c r="F60" i="1"/>
  <c r="I60" i="1"/>
  <c r="K60" i="1"/>
  <c r="N60" i="1"/>
  <c r="L60" i="1"/>
  <c r="M60" i="1"/>
  <c r="H60" i="1"/>
  <c r="J60" i="1"/>
  <c r="N2" i="1"/>
  <c r="R2" i="1"/>
  <c r="N3" i="1"/>
  <c r="N6" i="1"/>
  <c r="N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B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</calcChain>
</file>

<file path=xl/sharedStrings.xml><?xml version="1.0" encoding="utf-8"?>
<sst xmlns="http://schemas.openxmlformats.org/spreadsheetml/2006/main" count="62" uniqueCount="50">
  <si>
    <t>Revenues</t>
  </si>
  <si>
    <t>Expenses</t>
  </si>
  <si>
    <t>GP</t>
  </si>
  <si>
    <t>Taxes</t>
  </si>
  <si>
    <t>Interest</t>
  </si>
  <si>
    <t>Net Income</t>
  </si>
  <si>
    <t>Principal</t>
  </si>
  <si>
    <t>Capex</t>
  </si>
  <si>
    <t>D/E</t>
  </si>
  <si>
    <t>Debt</t>
  </si>
  <si>
    <t>Equity</t>
  </si>
  <si>
    <t>Period</t>
  </si>
  <si>
    <t>Amort</t>
  </si>
  <si>
    <t>Beg</t>
  </si>
  <si>
    <t>Ending</t>
  </si>
  <si>
    <t>Cash</t>
  </si>
  <si>
    <t>DS</t>
  </si>
  <si>
    <t>CFADS</t>
  </si>
  <si>
    <t>Investment</t>
  </si>
  <si>
    <t>CFs</t>
  </si>
  <si>
    <t>IRR</t>
  </si>
  <si>
    <t>Active</t>
  </si>
  <si>
    <t>Timeline</t>
  </si>
  <si>
    <t>Yearfrac</t>
  </si>
  <si>
    <t>Amort Curve</t>
  </si>
  <si>
    <t>ROE Factor %</t>
  </si>
  <si>
    <t>Maturity</t>
  </si>
  <si>
    <t>Adjusted DSCR</t>
  </si>
  <si>
    <t>Min DSCR</t>
  </si>
  <si>
    <t>ROE K</t>
  </si>
  <si>
    <t>ROE K (Active)</t>
  </si>
  <si>
    <t>Expired</t>
  </si>
  <si>
    <t>Months</t>
  </si>
  <si>
    <t>Max Rev</t>
  </si>
  <si>
    <t>ROE Case</t>
  </si>
  <si>
    <t>O&amp;M Esc.</t>
  </si>
  <si>
    <t>Max DSCR</t>
  </si>
  <si>
    <t>NPV</t>
  </si>
  <si>
    <t>ROE K (1)</t>
  </si>
  <si>
    <t>ROE K (2)</t>
  </si>
  <si>
    <t>margin</t>
  </si>
  <si>
    <t>Max RD</t>
  </si>
  <si>
    <t>Min RD</t>
  </si>
  <si>
    <t>Max +4%</t>
  </si>
  <si>
    <t>Min -4%</t>
  </si>
  <si>
    <t>Allowed</t>
  </si>
  <si>
    <t>Desired</t>
  </si>
  <si>
    <t>ROEK Start</t>
  </si>
  <si>
    <t>ROE K Start</t>
  </si>
  <si>
    <t>Adj. ROE Factor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</si>
</sst>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.0_);\(#,##0.0\);\–_);&quot;–&quot;_)"/>
    <numFmt numFmtId="165" formatCode="#,##0_);\(#,##0\);\–_);&quot;–&quot;_)"/>
    <numFmt numFmtId="166" formatCode="0.0%_);\(0.0%\);&quot;–&quot;_)"/>
    <numFmt numFmtId="167" formatCode="m/d/yy;@"/>
    <numFmt numFmtId="168" formatCode="#,##0.00_);\(#,##0.00\);\–_);&quot;–&quot;_)"/>
    <numFmt numFmtId="169" formatCode="0%_);\(0%\);&quot;–&quot;_)"/>
    <numFmt numFmtId="170" formatCode="0.00\x_);\(0.00\x\);&quot;–&quot;_)"/>
    <numFmt numFmtId="171" formatCode="0.00%_);\(0.00%\);&quot;–&quot;_)"/>
    <numFmt numFmtId="174" formatCode="0.0%"/>
    <numFmt numFmtId="175" formatCode="#,##0.000_);\(#,##0.000\);\–_);&quot;–&quot;_)"/>
  </numFmts>
  <fonts count="5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9"/>
      <color rgb="FF0000FF"/>
      <name val="Arial"/>
      <family val="2"/>
    </font>
    <font>
      <i/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5" fontId="3" fillId="2" borderId="0" xfId="0" applyNumberFormat="1" applyFont="1" applyFill="1"/>
    <xf numFmtId="166" fontId="0" fillId="0" borderId="0" xfId="0" applyNumberFormat="1"/>
    <xf numFmtId="166" fontId="4" fillId="0" borderId="0" xfId="0" applyNumberFormat="1" applyFont="1"/>
    <xf numFmtId="166" fontId="3" fillId="2" borderId="0" xfId="0" applyNumberFormat="1" applyFont="1" applyFill="1"/>
    <xf numFmtId="168" fontId="0" fillId="0" borderId="0" xfId="0" applyNumberFormat="1"/>
    <xf numFmtId="169" fontId="4" fillId="0" borderId="0" xfId="0" applyNumberFormat="1" applyFont="1"/>
    <xf numFmtId="166" fontId="2" fillId="0" borderId="0" xfId="0" applyNumberFormat="1" applyFont="1" applyFill="1"/>
    <xf numFmtId="170" fontId="3" fillId="2" borderId="0" xfId="0" applyNumberFormat="1" applyFont="1" applyFill="1"/>
    <xf numFmtId="0" fontId="1" fillId="0" borderId="0" xfId="0" applyFont="1"/>
    <xf numFmtId="169" fontId="0" fillId="0" borderId="0" xfId="0" applyNumberFormat="1" applyFont="1"/>
    <xf numFmtId="169" fontId="0" fillId="0" borderId="0" xfId="0" applyNumberFormat="1"/>
    <xf numFmtId="167" fontId="0" fillId="0" borderId="0" xfId="0" applyNumberFormat="1" applyAlignment="1">
      <alignment horizontal="center"/>
    </xf>
    <xf numFmtId="165" fontId="3" fillId="2" borderId="0" xfId="0" applyNumberFormat="1" applyFont="1" applyFill="1" applyAlignment="1"/>
    <xf numFmtId="0" fontId="0" fillId="0" borderId="0" xfId="0" applyAlignment="1">
      <alignment horizontal="left" indent="1"/>
    </xf>
    <xf numFmtId="165" fontId="1" fillId="0" borderId="0" xfId="0" applyNumberFormat="1" applyFont="1"/>
    <xf numFmtId="169" fontId="1" fillId="0" borderId="0" xfId="0" applyNumberFormat="1" applyFont="1"/>
    <xf numFmtId="168" fontId="2" fillId="0" borderId="0" xfId="0" applyNumberFormat="1" applyFont="1" applyFill="1"/>
    <xf numFmtId="166" fontId="3" fillId="2" borderId="0" xfId="0" applyNumberFormat="1" applyFont="1" applyFill="1" applyAlignment="1"/>
    <xf numFmtId="169" fontId="3" fillId="2" borderId="0" xfId="0" applyNumberFormat="1" applyFont="1" applyFill="1"/>
    <xf numFmtId="171" fontId="3" fillId="2" borderId="0" xfId="0" applyNumberFormat="1" applyFont="1" applyFill="1"/>
    <xf numFmtId="175" fontId="0" fillId="0" borderId="0" xfId="0" applyNumberFormat="1"/>
    <xf numFmtId="174" fontId="4" fillId="0" borderId="0" xfId="0" applyNumberFormat="1" applyFont="1"/>
    <xf numFmtId="174" fontId="0" fillId="0" borderId="0" xfId="0" applyNumberFormat="1" applyFont="1"/>
    <xf numFmtId="175" fontId="3" fillId="2" borderId="0" xfId="0" applyNumberFormat="1" applyFont="1" applyFill="1" applyAlignment="1"/>
    <xf numFmtId="171" fontId="0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C60"/>
  <sheetViews>
    <sheetView tabSelected="1" topLeftCell="G1" zoomScaleNormal="100" workbookViewId="0">
      <selection activeCell="E39" sqref="E39:AC40"/>
    </sheetView>
  </sheetViews>
  <sheetFormatPr defaultRowHeight="12" outlineLevelRow="1" x14ac:dyDescent="0.2"/>
  <cols>
    <col min="1" max="2" width="9.140625" customWidth="1"/>
    <col min="4" max="24" width="9.140625" customWidth="1"/>
  </cols>
  <sheetData>
    <row r="1" spans="2:29" x14ac:dyDescent="0.2">
      <c r="N1" s="29" t="s">
        <v>21</v>
      </c>
      <c r="O1" s="29">
        <v>1</v>
      </c>
      <c r="P1" s="29">
        <v>2</v>
      </c>
    </row>
    <row r="2" spans="2:29" x14ac:dyDescent="0.2">
      <c r="C2" t="s">
        <v>7</v>
      </c>
      <c r="D2" s="4">
        <v>1000</v>
      </c>
      <c r="F2" t="s">
        <v>47</v>
      </c>
      <c r="G2" s="16">
        <v>4</v>
      </c>
      <c r="I2" t="s">
        <v>35</v>
      </c>
      <c r="J2" s="7">
        <v>0.02</v>
      </c>
      <c r="M2" t="s">
        <v>42</v>
      </c>
      <c r="N2" s="6">
        <f ca="1">MIN(E23:AC23)</f>
        <v>1.0109982492344738E-2</v>
      </c>
      <c r="O2" s="6">
        <v>2.6625624384265079E-2</v>
      </c>
      <c r="P2" s="6">
        <v>2.9821803308590411E-2</v>
      </c>
      <c r="R2" s="6">
        <f ca="1">N7</f>
        <v>7.9626610875129719E-2</v>
      </c>
      <c r="S2">
        <v>1</v>
      </c>
      <c r="T2">
        <f>S2+1</f>
        <v>2</v>
      </c>
      <c r="U2">
        <f t="shared" ref="U2:W2" si="0">T2+1</f>
        <v>3</v>
      </c>
      <c r="V2">
        <f t="shared" si="0"/>
        <v>4</v>
      </c>
      <c r="W2">
        <f t="shared" si="0"/>
        <v>5</v>
      </c>
    </row>
    <row r="3" spans="2:29" x14ac:dyDescent="0.2">
      <c r="C3" t="s">
        <v>8</v>
      </c>
      <c r="D3" s="7">
        <v>0.8</v>
      </c>
      <c r="F3" t="s">
        <v>29</v>
      </c>
      <c r="G3" s="27">
        <v>0.9</v>
      </c>
      <c r="I3" t="s">
        <v>3</v>
      </c>
      <c r="J3" s="7">
        <v>0.3</v>
      </c>
      <c r="M3" t="s">
        <v>41</v>
      </c>
      <c r="N3" s="6">
        <f ca="1">MAX(E23:AC23)</f>
        <v>4.0000000000000036E-2</v>
      </c>
      <c r="O3" s="6">
        <v>4.0000598816617883E-2</v>
      </c>
      <c r="P3" s="6">
        <v>4.0000291276440558E-2</v>
      </c>
      <c r="R3" s="8">
        <v>0.6</v>
      </c>
      <c r="S3" s="6">
        <f t="dataTable" ref="S3:W9" dt2D="1" dtr="1" r1="G2" r2="G3" ca="1"/>
        <v>7.9247435927391058E-2</v>
      </c>
      <c r="T3" s="6">
        <v>7.3933199048042311E-2</v>
      </c>
      <c r="U3" s="6">
        <v>6.8701031804084794E-2</v>
      </c>
      <c r="V3" s="6">
        <v>6.3460281491279594E-2</v>
      </c>
      <c r="W3" s="6">
        <v>5.8116498589515689E-2</v>
      </c>
    </row>
    <row r="4" spans="2:29" x14ac:dyDescent="0.2">
      <c r="C4" t="s">
        <v>9</v>
      </c>
      <c r="D4" s="3">
        <f>D2*D3</f>
        <v>800</v>
      </c>
      <c r="F4" t="s">
        <v>34</v>
      </c>
      <c r="G4" s="16">
        <v>2</v>
      </c>
      <c r="M4" t="s">
        <v>28</v>
      </c>
      <c r="N4" s="8">
        <f>MIN(E42:X42)</f>
        <v>1.25</v>
      </c>
      <c r="O4" s="8">
        <v>1.2743795892984653</v>
      </c>
      <c r="P4" s="8">
        <v>1.25</v>
      </c>
      <c r="R4" s="8">
        <f>R3+0.05</f>
        <v>0.65</v>
      </c>
      <c r="S4" s="6">
        <v>8.3158054947853111E-2</v>
      </c>
      <c r="T4" s="6">
        <v>7.7513948082923917E-2</v>
      </c>
      <c r="U4" s="6">
        <v>7.1976289153099074E-2</v>
      </c>
      <c r="V4" s="6">
        <v>6.6443899273872384E-2</v>
      </c>
      <c r="W4" s="6">
        <v>6.0812541842460627E-2</v>
      </c>
    </row>
    <row r="5" spans="2:29" x14ac:dyDescent="0.2">
      <c r="C5" t="s">
        <v>10</v>
      </c>
      <c r="D5" s="3">
        <f>D2-D4</f>
        <v>200</v>
      </c>
      <c r="F5" t="s">
        <v>33</v>
      </c>
      <c r="G5" s="21">
        <v>0.04</v>
      </c>
      <c r="M5" t="s">
        <v>36</v>
      </c>
      <c r="N5" s="8">
        <f>MAX(E42:X42)</f>
        <v>1.9454545454545453</v>
      </c>
      <c r="O5" s="8">
        <v>1.737591785969304</v>
      </c>
      <c r="P5" s="8">
        <v>1.7928821649229856</v>
      </c>
      <c r="R5" s="8">
        <f t="shared" ref="R5:R9" si="1">R4+0.05</f>
        <v>0.70000000000000007</v>
      </c>
      <c r="S5" s="6">
        <v>8.6942592263221735E-2</v>
      </c>
      <c r="T5" s="6">
        <v>8.097519576549532E-2</v>
      </c>
      <c r="U5" s="6">
        <v>7.5140509009361284E-2</v>
      </c>
      <c r="V5" s="6">
        <v>6.9326463341712954E-2</v>
      </c>
      <c r="W5" s="6">
        <v>6.3418909907341003E-2</v>
      </c>
    </row>
    <row r="6" spans="2:29" x14ac:dyDescent="0.2">
      <c r="C6" t="s">
        <v>12</v>
      </c>
      <c r="D6" s="10">
        <f>1/MAX(E13:N13)</f>
        <v>0.1</v>
      </c>
      <c r="F6" t="s">
        <v>26</v>
      </c>
      <c r="G6" s="16">
        <v>25</v>
      </c>
      <c r="M6" t="s">
        <v>37</v>
      </c>
      <c r="N6" s="2">
        <f ca="1">XNPV(0.1,E22:AC22,E11:AC11)</f>
        <v>923.14251138198438</v>
      </c>
      <c r="O6" s="2">
        <v>923.23106699716766</v>
      </c>
      <c r="P6" s="2">
        <v>923.39173997868318</v>
      </c>
      <c r="R6" s="8">
        <f t="shared" si="1"/>
        <v>0.75000000000000011</v>
      </c>
      <c r="S6" s="6">
        <v>9.0611746907234211E-2</v>
      </c>
      <c r="T6" s="6">
        <v>8.4326818585395827E-2</v>
      </c>
      <c r="U6" s="6">
        <v>7.8202614188194283E-2</v>
      </c>
      <c r="V6" s="6">
        <v>7.2115853428840651E-2</v>
      </c>
      <c r="W6" s="6">
        <v>6.5942314267158506E-2</v>
      </c>
    </row>
    <row r="7" spans="2:29" x14ac:dyDescent="0.2">
      <c r="C7" t="s">
        <v>4</v>
      </c>
      <c r="D7" s="7">
        <v>0.05</v>
      </c>
      <c r="F7" t="s">
        <v>32</v>
      </c>
      <c r="G7" s="16">
        <v>12</v>
      </c>
      <c r="M7" t="s">
        <v>20</v>
      </c>
      <c r="N7" s="28">
        <f ca="1">XIRR(D59:AC59,D11:AC11)</f>
        <v>7.9626610875129719E-2</v>
      </c>
      <c r="O7" s="28">
        <v>7.999990284442908E-2</v>
      </c>
      <c r="P7" s="28">
        <v>8.0000039935112052E-2</v>
      </c>
      <c r="R7" s="8">
        <f t="shared" si="1"/>
        <v>0.80000000000000016</v>
      </c>
      <c r="S7" s="6">
        <v>9.4174852967262274E-2</v>
      </c>
      <c r="T7" s="6">
        <v>8.7577459216117856E-2</v>
      </c>
      <c r="U7" s="6">
        <v>8.1170472502708466E-2</v>
      </c>
      <c r="V7" s="6">
        <v>7.4819025397300731E-2</v>
      </c>
      <c r="W7" s="6">
        <v>6.8352130055427548E-2</v>
      </c>
    </row>
    <row r="8" spans="2:29" x14ac:dyDescent="0.2">
      <c r="C8" t="s">
        <v>17</v>
      </c>
      <c r="D8" s="11">
        <v>1.25</v>
      </c>
      <c r="M8" t="str">
        <f>F2</f>
        <v>ROEK Start</v>
      </c>
      <c r="N8" s="24">
        <f>G2</f>
        <v>4</v>
      </c>
      <c r="O8" s="24">
        <v>0</v>
      </c>
      <c r="P8" s="24">
        <v>1</v>
      </c>
      <c r="R8" s="8">
        <f t="shared" si="1"/>
        <v>0.8500000000000002</v>
      </c>
      <c r="S8" s="6">
        <v>9.7640126943588257E-2</v>
      </c>
      <c r="T8" s="6">
        <v>9.0734735131263747E-2</v>
      </c>
      <c r="U8" s="6">
        <v>8.4051015973091128E-2</v>
      </c>
      <c r="V8" s="6">
        <v>7.7442148327827462E-2</v>
      </c>
      <c r="W8" s="6">
        <v>6.9913443922996504E-2</v>
      </c>
    </row>
    <row r="9" spans="2:29" x14ac:dyDescent="0.2">
      <c r="C9" t="s">
        <v>12</v>
      </c>
      <c r="D9" s="16">
        <v>2</v>
      </c>
      <c r="M9" t="str">
        <f>F3</f>
        <v>ROE K</v>
      </c>
      <c r="N9" s="24">
        <f>G3</f>
        <v>0.9</v>
      </c>
      <c r="O9" s="24">
        <v>0.60948973246163007</v>
      </c>
      <c r="P9" s="24">
        <v>0.68574589253429741</v>
      </c>
      <c r="R9" s="8">
        <f t="shared" si="1"/>
        <v>0.90000000000000024</v>
      </c>
      <c r="S9" s="6">
        <v>0.10101481080055238</v>
      </c>
      <c r="T9" s="6">
        <v>9.3805405497550967E-2</v>
      </c>
      <c r="U9" s="6">
        <v>8.6850419640541091E-2</v>
      </c>
      <c r="V9" s="6">
        <v>7.9626610875129719E-2</v>
      </c>
      <c r="W9" s="6">
        <v>6.9913443922996504E-2</v>
      </c>
    </row>
    <row r="11" spans="2:29" x14ac:dyDescent="0.2">
      <c r="B11" s="1"/>
      <c r="C11" t="s">
        <v>22</v>
      </c>
      <c r="D11" s="15">
        <v>42004</v>
      </c>
      <c r="E11" s="15">
        <f>EOMONTH(D11,$G$7)</f>
        <v>42369</v>
      </c>
      <c r="F11" s="15">
        <f>EOMONTH(E11,$G$7)</f>
        <v>42735</v>
      </c>
      <c r="G11" s="15">
        <f>EOMONTH(F11,$G$7)</f>
        <v>43100</v>
      </c>
      <c r="H11" s="15">
        <f>EOMONTH(G11,$G$7)</f>
        <v>43465</v>
      </c>
      <c r="I11" s="15">
        <f>EOMONTH(H11,$G$7)</f>
        <v>43830</v>
      </c>
      <c r="J11" s="15">
        <f>EOMONTH(I11,$G$7)</f>
        <v>44196</v>
      </c>
      <c r="K11" s="15">
        <f>EOMONTH(J11,$G$7)</f>
        <v>44561</v>
      </c>
      <c r="L11" s="15">
        <f>EOMONTH(K11,$G$7)</f>
        <v>44926</v>
      </c>
      <c r="M11" s="15">
        <f>EOMONTH(L11,$G$7)</f>
        <v>45291</v>
      </c>
      <c r="N11" s="15">
        <f>EOMONTH(M11,$G$7)</f>
        <v>45657</v>
      </c>
      <c r="O11" s="15">
        <f>EOMONTH(N11,$G$7)</f>
        <v>46022</v>
      </c>
      <c r="P11" s="15">
        <f>EOMONTH(O11,$G$7)</f>
        <v>46387</v>
      </c>
      <c r="Q11" s="15">
        <f>EOMONTH(P11,$G$7)</f>
        <v>46752</v>
      </c>
      <c r="R11" s="15">
        <f>EOMONTH(Q11,$G$7)</f>
        <v>47118</v>
      </c>
      <c r="S11" s="15">
        <f>EOMONTH(R11,$G$7)</f>
        <v>47483</v>
      </c>
      <c r="T11" s="15">
        <f>EOMONTH(S11,$G$7)</f>
        <v>47848</v>
      </c>
      <c r="U11" s="15">
        <f>EOMONTH(T11,$G$7)</f>
        <v>48213</v>
      </c>
      <c r="V11" s="15">
        <f>EOMONTH(U11,$G$7)</f>
        <v>48579</v>
      </c>
      <c r="W11" s="15">
        <f>EOMONTH(V11,$G$7)</f>
        <v>48944</v>
      </c>
      <c r="X11" s="15">
        <f>EOMONTH(W11,$G$7)</f>
        <v>49309</v>
      </c>
      <c r="Y11" s="15">
        <f t="shared" ref="Y11:AC11" si="2">EOMONTH(X11,$G$7)</f>
        <v>49674</v>
      </c>
      <c r="Z11" s="15">
        <f t="shared" si="2"/>
        <v>50040</v>
      </c>
      <c r="AA11" s="15">
        <f t="shared" si="2"/>
        <v>50405</v>
      </c>
      <c r="AB11" s="15">
        <f t="shared" si="2"/>
        <v>50770</v>
      </c>
      <c r="AC11" s="15">
        <f t="shared" si="2"/>
        <v>51135</v>
      </c>
    </row>
    <row r="12" spans="2:29" x14ac:dyDescent="0.2">
      <c r="B12" s="1"/>
      <c r="C12" t="s">
        <v>23</v>
      </c>
      <c r="E12" s="2">
        <f>YEARFRAC(D11,E11)</f>
        <v>1</v>
      </c>
      <c r="F12" s="2">
        <f t="shared" ref="F12:N12" si="3">YEARFRAC(E11,F11)</f>
        <v>1</v>
      </c>
      <c r="G12" s="2">
        <f t="shared" si="3"/>
        <v>1</v>
      </c>
      <c r="H12" s="2">
        <f t="shared" si="3"/>
        <v>1</v>
      </c>
      <c r="I12" s="2">
        <f t="shared" si="3"/>
        <v>1</v>
      </c>
      <c r="J12" s="2">
        <f t="shared" si="3"/>
        <v>1</v>
      </c>
      <c r="K12" s="2">
        <f t="shared" si="3"/>
        <v>1</v>
      </c>
      <c r="L12" s="2">
        <f t="shared" si="3"/>
        <v>1</v>
      </c>
      <c r="M12" s="2">
        <f t="shared" si="3"/>
        <v>1</v>
      </c>
      <c r="N12" s="2">
        <f t="shared" si="3"/>
        <v>1</v>
      </c>
      <c r="O12" s="2">
        <f t="shared" ref="O12" si="4">YEARFRAC(N11,O11)</f>
        <v>1</v>
      </c>
      <c r="P12" s="2">
        <f t="shared" ref="P12" si="5">YEARFRAC(O11,P11)</f>
        <v>1</v>
      </c>
      <c r="Q12" s="2">
        <f t="shared" ref="Q12" si="6">YEARFRAC(P11,Q11)</f>
        <v>1</v>
      </c>
      <c r="R12" s="2">
        <f t="shared" ref="R12" si="7">YEARFRAC(Q11,R11)</f>
        <v>1</v>
      </c>
      <c r="S12" s="2">
        <f t="shared" ref="S12" si="8">YEARFRAC(R11,S11)</f>
        <v>1</v>
      </c>
      <c r="T12" s="2">
        <f t="shared" ref="T12" si="9">YEARFRAC(S11,T11)</f>
        <v>1</v>
      </c>
      <c r="U12" s="2">
        <f t="shared" ref="U12" si="10">YEARFRAC(T11,U11)</f>
        <v>1</v>
      </c>
      <c r="V12" s="2">
        <f t="shared" ref="V12" si="11">YEARFRAC(U11,V11)</f>
        <v>1</v>
      </c>
      <c r="W12" s="2">
        <f t="shared" ref="W12" si="12">YEARFRAC(V11,W11)</f>
        <v>1</v>
      </c>
      <c r="X12" s="2">
        <f t="shared" ref="X12" si="13">YEARFRAC(W11,X11)</f>
        <v>1</v>
      </c>
      <c r="Y12" s="2">
        <f t="shared" ref="Y12" si="14">YEARFRAC(X11,Y11)</f>
        <v>1</v>
      </c>
      <c r="Z12" s="2">
        <f t="shared" ref="Z12" si="15">YEARFRAC(Y11,Z11)</f>
        <v>1</v>
      </c>
      <c r="AA12" s="2">
        <f t="shared" ref="AA12" si="16">YEARFRAC(Z11,AA11)</f>
        <v>1</v>
      </c>
      <c r="AB12" s="2">
        <f t="shared" ref="AB12" si="17">YEARFRAC(AA11,AB11)</f>
        <v>1</v>
      </c>
      <c r="AC12" s="2">
        <f t="shared" ref="AC12" si="18">YEARFRAC(AB11,AC11)</f>
        <v>1</v>
      </c>
    </row>
    <row r="13" spans="2:29" x14ac:dyDescent="0.2">
      <c r="B13" s="1"/>
      <c r="C13" t="s">
        <v>11</v>
      </c>
      <c r="E13" s="2">
        <f>SUM($D12:E12)</f>
        <v>1</v>
      </c>
      <c r="F13" s="2">
        <f>SUM($D12:F12)</f>
        <v>2</v>
      </c>
      <c r="G13" s="2">
        <f>SUM($D12:G12)</f>
        <v>3</v>
      </c>
      <c r="H13" s="2">
        <f>SUM($D12:H12)</f>
        <v>4</v>
      </c>
      <c r="I13" s="2">
        <f>SUM($D12:I12)</f>
        <v>5</v>
      </c>
      <c r="J13" s="2">
        <f>SUM($D12:J12)</f>
        <v>6</v>
      </c>
      <c r="K13" s="2">
        <f>SUM($D12:K12)</f>
        <v>7</v>
      </c>
      <c r="L13" s="2">
        <f>SUM($D12:L12)</f>
        <v>8</v>
      </c>
      <c r="M13" s="2">
        <f>SUM($D12:M12)</f>
        <v>9</v>
      </c>
      <c r="N13" s="2">
        <f>SUM($D12:N12)</f>
        <v>10</v>
      </c>
      <c r="O13" s="2">
        <f>SUM($D12:O12)</f>
        <v>11</v>
      </c>
      <c r="P13" s="2">
        <f>SUM($D12:P12)</f>
        <v>12</v>
      </c>
      <c r="Q13" s="2">
        <f>SUM($D12:Q12)</f>
        <v>13</v>
      </c>
      <c r="R13" s="2">
        <f>SUM($D12:R12)</f>
        <v>14</v>
      </c>
      <c r="S13" s="2">
        <f>SUM($D12:S12)</f>
        <v>15</v>
      </c>
      <c r="T13" s="2">
        <f>SUM($D12:T12)</f>
        <v>16</v>
      </c>
      <c r="U13" s="2">
        <f>SUM($D12:U12)</f>
        <v>17</v>
      </c>
      <c r="V13" s="2">
        <f>SUM($D12:V12)</f>
        <v>18</v>
      </c>
      <c r="W13" s="2">
        <f>SUM($D12:W12)</f>
        <v>19</v>
      </c>
      <c r="X13" s="2">
        <f>SUM($D12:X12)</f>
        <v>20</v>
      </c>
      <c r="Y13" s="2">
        <f>SUM($D12:Y12)</f>
        <v>21</v>
      </c>
      <c r="Z13" s="2">
        <f>SUM($D12:Z12)</f>
        <v>22</v>
      </c>
      <c r="AA13" s="2">
        <f>SUM($D12:AA12)</f>
        <v>23</v>
      </c>
      <c r="AB13" s="2">
        <f>SUM($D12:AB12)</f>
        <v>24</v>
      </c>
      <c r="AC13" s="2">
        <f>SUM($D12:AC12)</f>
        <v>25</v>
      </c>
    </row>
    <row r="14" spans="2:29" x14ac:dyDescent="0.2">
      <c r="B14" s="1"/>
      <c r="C14" t="s">
        <v>48</v>
      </c>
      <c r="E14" s="2">
        <f>IF(E13&gt;=$G$2,D14+1,0)</f>
        <v>0</v>
      </c>
      <c r="F14" s="2">
        <f t="shared" ref="F14:H14" si="19">IF(F13&gt;=$G$2,E14+1,0)</f>
        <v>0</v>
      </c>
      <c r="G14" s="2">
        <f t="shared" si="19"/>
        <v>0</v>
      </c>
      <c r="H14" s="2">
        <f t="shared" ref="H14" si="20">IF(H13&gt;=$G$2,G14+1,0)</f>
        <v>1</v>
      </c>
      <c r="I14" s="2">
        <f t="shared" ref="I14" si="21">IF(I13&gt;=$G$2,H14+1,0)</f>
        <v>2</v>
      </c>
      <c r="J14" s="2">
        <f t="shared" ref="J14" si="22">IF(J13&gt;=$G$2,I14+1,0)</f>
        <v>3</v>
      </c>
      <c r="K14" s="2">
        <f t="shared" ref="K14" si="23">IF(K13&gt;=$G$2,J14+1,0)</f>
        <v>4</v>
      </c>
      <c r="L14" s="2">
        <f t="shared" ref="L14" si="24">IF(L13&gt;=$G$2,K14+1,0)</f>
        <v>5</v>
      </c>
      <c r="M14" s="2">
        <f t="shared" ref="M14" si="25">IF(M13&gt;=$G$2,L14+1,0)</f>
        <v>6</v>
      </c>
      <c r="N14" s="2">
        <f t="shared" ref="N14" si="26">IF(N13&gt;=$G$2,M14+1,0)</f>
        <v>7</v>
      </c>
      <c r="O14" s="2">
        <f t="shared" ref="O14" si="27">IF(O13&gt;=$G$2,N14+1,0)</f>
        <v>8</v>
      </c>
      <c r="P14" s="2">
        <f t="shared" ref="P14" si="28">IF(P13&gt;=$G$2,O14+1,0)</f>
        <v>9</v>
      </c>
      <c r="Q14" s="2">
        <f t="shared" ref="Q14" si="29">IF(Q13&gt;=$G$2,P14+1,0)</f>
        <v>10</v>
      </c>
      <c r="R14" s="2">
        <f t="shared" ref="R14" si="30">IF(R13&gt;=$G$2,Q14+1,0)</f>
        <v>11</v>
      </c>
      <c r="S14" s="2">
        <f t="shared" ref="S14" si="31">IF(S13&gt;=$G$2,R14+1,0)</f>
        <v>12</v>
      </c>
      <c r="T14" s="2">
        <f t="shared" ref="T14" si="32">IF(T13&gt;=$G$2,S14+1,0)</f>
        <v>13</v>
      </c>
      <c r="U14" s="2">
        <f t="shared" ref="U14" si="33">IF(U13&gt;=$G$2,T14+1,0)</f>
        <v>14</v>
      </c>
      <c r="V14" s="2">
        <f t="shared" ref="V14" si="34">IF(V13&gt;=$G$2,U14+1,0)</f>
        <v>15</v>
      </c>
      <c r="W14" s="2">
        <f t="shared" ref="W14" si="35">IF(W13&gt;=$G$2,V14+1,0)</f>
        <v>16</v>
      </c>
      <c r="X14" s="2">
        <f t="shared" ref="X14" si="36">IF(X13&gt;=$G$2,W14+1,0)</f>
        <v>17</v>
      </c>
      <c r="Y14" s="2">
        <f t="shared" ref="Y14" si="37">IF(Y13&gt;=$G$2,X14+1,0)</f>
        <v>18</v>
      </c>
      <c r="Z14" s="2">
        <f t="shared" ref="Z14" si="38">IF(Z13&gt;=$G$2,Y14+1,0)</f>
        <v>19</v>
      </c>
      <c r="AA14" s="2">
        <f t="shared" ref="AA14" si="39">IF(AA13&gt;=$G$2,Z14+1,0)</f>
        <v>20</v>
      </c>
      <c r="AB14" s="2">
        <f t="shared" ref="AB14" si="40">IF(AB13&gt;=$G$2,AA14+1,0)</f>
        <v>21</v>
      </c>
      <c r="AC14" s="2">
        <f t="shared" ref="AC14" si="41">IF(AC13&gt;=$G$2,AB14+1,0)</f>
        <v>22</v>
      </c>
    </row>
    <row r="15" spans="2:29" x14ac:dyDescent="0.2">
      <c r="B15" s="1"/>
      <c r="C15" t="s">
        <v>31</v>
      </c>
      <c r="E15" t="b">
        <f>IF(D15,TRUE,E13&gt;=$G$6)</f>
        <v>0</v>
      </c>
      <c r="F15" t="b">
        <f>IF(E15,TRUE,F13&gt;=$G$6)</f>
        <v>0</v>
      </c>
      <c r="G15" t="b">
        <f>IF(F15,TRUE,G13&gt;=$G$6)</f>
        <v>0</v>
      </c>
      <c r="H15" t="b">
        <f>IF(G15,TRUE,H13&gt;=$G$6)</f>
        <v>0</v>
      </c>
      <c r="I15" t="b">
        <f>IF(H15,TRUE,I13&gt;=$G$6)</f>
        <v>0</v>
      </c>
      <c r="J15" t="b">
        <f>IF(I15,TRUE,J13&gt;=$G$6)</f>
        <v>0</v>
      </c>
      <c r="K15" t="b">
        <f>IF(J15,TRUE,K13&gt;=$G$6)</f>
        <v>0</v>
      </c>
      <c r="L15" t="b">
        <f>IF(K15,TRUE,L13&gt;=$G$6)</f>
        <v>0</v>
      </c>
      <c r="M15" t="b">
        <f>IF(L15,TRUE,M13&gt;=$G$6)</f>
        <v>0</v>
      </c>
      <c r="N15" t="b">
        <f>IF(M15,TRUE,N13&gt;=$G$6)</f>
        <v>0</v>
      </c>
      <c r="O15" t="b">
        <f>IF(N15,TRUE,O13&gt;=$G$6)</f>
        <v>0</v>
      </c>
      <c r="P15" t="b">
        <f>IF(O15,TRUE,P13&gt;=$G$6)</f>
        <v>0</v>
      </c>
      <c r="Q15" t="b">
        <f>IF(P15,TRUE,Q13&gt;=$G$6)</f>
        <v>0</v>
      </c>
      <c r="R15" t="b">
        <f>IF(Q15,TRUE,R13&gt;=$G$6)</f>
        <v>0</v>
      </c>
      <c r="S15" t="b">
        <f>IF(R15,TRUE,S13&gt;=$G$6)</f>
        <v>0</v>
      </c>
      <c r="T15" t="b">
        <f>IF(S15,TRUE,T13&gt;=$G$6)</f>
        <v>0</v>
      </c>
      <c r="U15" t="b">
        <f>IF(T15,TRUE,U13&gt;=$G$6)</f>
        <v>0</v>
      </c>
      <c r="V15" t="b">
        <f>IF(U15,TRUE,V13&gt;=$G$6)</f>
        <v>0</v>
      </c>
      <c r="W15" t="b">
        <f>IF(V15,TRUE,W13&gt;=$G$6)</f>
        <v>0</v>
      </c>
      <c r="X15" t="b">
        <f>IF(W15,TRUE,X13&gt;=$G$6)</f>
        <v>0</v>
      </c>
      <c r="Y15" t="b">
        <f t="shared" ref="Y15:AC15" si="42">IF(X15,TRUE,Y13&gt;=$G$6)</f>
        <v>0</v>
      </c>
      <c r="Z15" t="b">
        <f t="shared" si="42"/>
        <v>0</v>
      </c>
      <c r="AA15" t="b">
        <f t="shared" si="42"/>
        <v>0</v>
      </c>
      <c r="AB15" t="b">
        <f t="shared" si="42"/>
        <v>0</v>
      </c>
      <c r="AC15" t="b">
        <f t="shared" si="42"/>
        <v>1</v>
      </c>
    </row>
    <row r="16" spans="2:29" x14ac:dyDescent="0.2">
      <c r="B16" s="1"/>
    </row>
    <row r="17" spans="2:29" x14ac:dyDescent="0.2">
      <c r="B17" s="1"/>
      <c r="C17" t="s">
        <v>46</v>
      </c>
      <c r="E17" s="3">
        <f ca="1">-E33*E42+(-E28-E24)</f>
        <v>70.412635843803557</v>
      </c>
      <c r="F17" s="3">
        <f t="shared" ref="F17:G17" ca="1" si="43">-F33*F42+(-F28-F24)</f>
        <v>71.124506359424259</v>
      </c>
      <c r="G17" s="3">
        <f t="shared" ca="1" si="43"/>
        <v>71.891106609368251</v>
      </c>
      <c r="H17" s="3">
        <f t="shared" ref="H17:O17" ca="1" si="44">-H33*H42+(-H28-H24)</f>
        <v>74.743166675570635</v>
      </c>
      <c r="I17" s="3">
        <f t="shared" ca="1" si="44"/>
        <v>77.704940688658922</v>
      </c>
      <c r="J17" s="3">
        <f t="shared" ca="1" si="44"/>
        <v>80.789236616095721</v>
      </c>
      <c r="K17" s="3">
        <f t="shared" ca="1" si="44"/>
        <v>84.010352861808627</v>
      </c>
      <c r="L17" s="3">
        <f t="shared" ca="1" si="44"/>
        <v>87.38424869918029</v>
      </c>
      <c r="M17" s="3">
        <f t="shared" ca="1" si="44"/>
        <v>90.928733885389676</v>
      </c>
      <c r="N17" s="3">
        <f t="shared" ca="1" si="44"/>
        <v>94.663679588092535</v>
      </c>
      <c r="O17" s="3">
        <f t="shared" ca="1" si="44"/>
        <v>114.31582613285383</v>
      </c>
      <c r="P17" s="3">
        <f t="shared" ref="P17:AC17" ca="1" si="45">-P33*P42+(-P28-P24)</f>
        <v>119.92259856082484</v>
      </c>
      <c r="Q17" s="3">
        <f t="shared" ca="1" si="45"/>
        <v>125.87159936002708</v>
      </c>
      <c r="R17" s="3">
        <f t="shared" ca="1" si="45"/>
        <v>132.19858017981372</v>
      </c>
      <c r="S17" s="3">
        <f t="shared" ca="1" si="45"/>
        <v>138.94321029596529</v>
      </c>
      <c r="T17" s="3">
        <f t="shared" ca="1" si="45"/>
        <v>146.14950960634138</v>
      </c>
      <c r="U17" s="3">
        <f t="shared" ca="1" si="45"/>
        <v>153.86632930494909</v>
      </c>
      <c r="V17" s="3">
        <f t="shared" ca="1" si="45"/>
        <v>162.14788544870405</v>
      </c>
      <c r="W17" s="3">
        <f t="shared" ca="1" si="45"/>
        <v>171.05435119741975</v>
      </c>
      <c r="X17" s="3">
        <f t="shared" ca="1" si="45"/>
        <v>180.65251413492376</v>
      </c>
      <c r="Y17" s="3">
        <f t="shared" ca="1" si="45"/>
        <v>191.01650577421981</v>
      </c>
      <c r="Z17" s="3">
        <f t="shared" ca="1" si="45"/>
        <v>202.22861111954967</v>
      </c>
      <c r="AA17" s="3">
        <f t="shared" ca="1" si="45"/>
        <v>214.38016701108671</v>
      </c>
      <c r="AB17" s="3">
        <f t="shared" ca="1" si="45"/>
        <v>227.57255892270433</v>
      </c>
      <c r="AC17" s="3">
        <f t="shared" ca="1" si="45"/>
        <v>241.3887733602468</v>
      </c>
    </row>
    <row r="18" spans="2:29" x14ac:dyDescent="0.2">
      <c r="B18" s="1"/>
      <c r="C18" t="s">
        <v>43</v>
      </c>
      <c r="E18" s="3">
        <f ca="1">IF(ISBLANK(D20),E17,D20*1.04)</f>
        <v>70.412635843803557</v>
      </c>
      <c r="F18" s="3">
        <f t="shared" ref="F18:AC18" ca="1" si="46">IF(ISBLANK(E20),F17,E20*1.04)</f>
        <v>73.229141277555698</v>
      </c>
      <c r="G18" s="3">
        <f t="shared" ca="1" si="46"/>
        <v>73.969486613801237</v>
      </c>
      <c r="H18" s="3">
        <f t="shared" ca="1" si="46"/>
        <v>74.766750873742978</v>
      </c>
      <c r="I18" s="3">
        <f t="shared" ca="1" si="46"/>
        <v>77.732893342593457</v>
      </c>
      <c r="J18" s="3">
        <f t="shared" ca="1" si="46"/>
        <v>80.813138316205283</v>
      </c>
      <c r="K18" s="3">
        <f t="shared" ca="1" si="46"/>
        <v>84.020806080739547</v>
      </c>
      <c r="L18" s="3">
        <f t="shared" ca="1" si="46"/>
        <v>87.370766976280976</v>
      </c>
      <c r="M18" s="3">
        <f t="shared" ca="1" si="46"/>
        <v>90.865597655332223</v>
      </c>
      <c r="N18" s="3">
        <f t="shared" ca="1" si="46"/>
        <v>94.500221561545516</v>
      </c>
      <c r="O18" s="3">
        <f t="shared" ca="1" si="46"/>
        <v>98.280230424007343</v>
      </c>
      <c r="P18" s="3">
        <f t="shared" ca="1" si="46"/>
        <v>102.21143964096764</v>
      </c>
      <c r="Q18" s="3">
        <f t="shared" ca="1" si="46"/>
        <v>106.29989722660635</v>
      </c>
      <c r="R18" s="3">
        <f t="shared" ca="1" si="46"/>
        <v>110.55189311567061</v>
      </c>
      <c r="S18" s="3">
        <f t="shared" ca="1" si="46"/>
        <v>114.97396884029743</v>
      </c>
      <c r="T18" s="3">
        <f t="shared" ca="1" si="46"/>
        <v>119.57292759390933</v>
      </c>
      <c r="U18" s="3">
        <f t="shared" ca="1" si="46"/>
        <v>124.3558446976657</v>
      </c>
      <c r="V18" s="3">
        <f t="shared" ca="1" si="46"/>
        <v>129.33007848557233</v>
      </c>
      <c r="W18" s="3">
        <f t="shared" ca="1" si="46"/>
        <v>134.50328162499522</v>
      </c>
      <c r="X18" s="3">
        <f t="shared" ca="1" si="46"/>
        <v>139.88341288999504</v>
      </c>
      <c r="Y18" s="3">
        <f t="shared" ca="1" si="46"/>
        <v>145.47874940559484</v>
      </c>
      <c r="Z18" s="3">
        <f t="shared" ca="1" si="46"/>
        <v>151.29789938181864</v>
      </c>
      <c r="AA18" s="3">
        <f t="shared" ca="1" si="46"/>
        <v>157.34981535709139</v>
      </c>
      <c r="AB18" s="3">
        <f t="shared" ca="1" si="46"/>
        <v>163.64380797137505</v>
      </c>
      <c r="AC18" s="3">
        <f t="shared" ca="1" si="46"/>
        <v>170.18956029023005</v>
      </c>
    </row>
    <row r="19" spans="2:29" x14ac:dyDescent="0.2">
      <c r="B19" s="1"/>
      <c r="C19" t="s">
        <v>44</v>
      </c>
      <c r="E19" s="3">
        <f ca="1">IF(ISBLANK(D20),E17,D20*0.96)</f>
        <v>70.412635843803557</v>
      </c>
      <c r="F19" s="3">
        <f t="shared" ref="F19:AC19" ca="1" si="47">IF(ISBLANK(E20),F17,E20*0.96)</f>
        <v>67.596130410051416</v>
      </c>
      <c r="G19" s="3">
        <f t="shared" ca="1" si="47"/>
        <v>68.279526105047282</v>
      </c>
      <c r="H19" s="3">
        <f t="shared" ca="1" si="47"/>
        <v>69.015462344993523</v>
      </c>
      <c r="I19" s="3">
        <f t="shared" ca="1" si="47"/>
        <v>71.753440008547813</v>
      </c>
      <c r="J19" s="3">
        <f t="shared" ca="1" si="47"/>
        <v>74.596743061112562</v>
      </c>
      <c r="K19" s="3">
        <f t="shared" ca="1" si="47"/>
        <v>77.557667151451895</v>
      </c>
      <c r="L19" s="3">
        <f t="shared" ca="1" si="47"/>
        <v>80.649938747336279</v>
      </c>
      <c r="M19" s="3">
        <f t="shared" ca="1" si="47"/>
        <v>83.875936297229728</v>
      </c>
      <c r="N19" s="3">
        <f t="shared" ca="1" si="47"/>
        <v>87.230973749118931</v>
      </c>
      <c r="O19" s="3">
        <f t="shared" ca="1" si="47"/>
        <v>90.720212699083689</v>
      </c>
      <c r="P19" s="3">
        <f t="shared" ca="1" si="47"/>
        <v>94.349021207047045</v>
      </c>
      <c r="Q19" s="3">
        <f t="shared" ca="1" si="47"/>
        <v>98.122982055328933</v>
      </c>
      <c r="R19" s="3">
        <f t="shared" ca="1" si="47"/>
        <v>102.04790133754209</v>
      </c>
      <c r="S19" s="3">
        <f t="shared" ca="1" si="47"/>
        <v>106.12981739104379</v>
      </c>
      <c r="T19" s="3">
        <f t="shared" ca="1" si="47"/>
        <v>110.37501008668553</v>
      </c>
      <c r="U19" s="3">
        <f t="shared" ca="1" si="47"/>
        <v>114.79001049015295</v>
      </c>
      <c r="V19" s="3">
        <f t="shared" ca="1" si="47"/>
        <v>119.38161090975908</v>
      </c>
      <c r="W19" s="3">
        <f t="shared" ca="1" si="47"/>
        <v>124.15687534614943</v>
      </c>
      <c r="X19" s="3">
        <f t="shared" ca="1" si="47"/>
        <v>129.12315035999541</v>
      </c>
      <c r="Y19" s="3">
        <f t="shared" ca="1" si="47"/>
        <v>134.28807637439525</v>
      </c>
      <c r="Z19" s="3">
        <f t="shared" ca="1" si="47"/>
        <v>139.65959942937104</v>
      </c>
      <c r="AA19" s="3">
        <f t="shared" ca="1" si="47"/>
        <v>145.24598340654589</v>
      </c>
      <c r="AB19" s="3">
        <f t="shared" ca="1" si="47"/>
        <v>151.05582274280772</v>
      </c>
      <c r="AC19" s="3">
        <f t="shared" ca="1" si="47"/>
        <v>157.09805565252006</v>
      </c>
    </row>
    <row r="20" spans="2:29" x14ac:dyDescent="0.2">
      <c r="B20" s="1"/>
      <c r="C20" t="s">
        <v>45</v>
      </c>
      <c r="E20" s="3">
        <f ca="1">MIN(MAX(E17,E19),E18)</f>
        <v>70.412635843803557</v>
      </c>
      <c r="F20" s="3">
        <f ca="1">MIN(MAX(F17,F19),F18)</f>
        <v>71.124506359424259</v>
      </c>
      <c r="G20" s="3">
        <f t="shared" ref="G20:O20" ca="1" si="48">MIN(MAX(G17,G19),G18)</f>
        <v>71.891106609368251</v>
      </c>
      <c r="H20" s="3">
        <f t="shared" ca="1" si="48"/>
        <v>74.743166675570635</v>
      </c>
      <c r="I20" s="3">
        <f t="shared" ca="1" si="48"/>
        <v>77.704940688658922</v>
      </c>
      <c r="J20" s="3">
        <f t="shared" ca="1" si="48"/>
        <v>80.789236616095721</v>
      </c>
      <c r="K20" s="3">
        <f t="shared" ca="1" si="48"/>
        <v>84.010352861808627</v>
      </c>
      <c r="L20" s="3">
        <f t="shared" ca="1" si="48"/>
        <v>87.370766976280976</v>
      </c>
      <c r="M20" s="3">
        <f t="shared" ca="1" si="48"/>
        <v>90.865597655332223</v>
      </c>
      <c r="N20" s="3">
        <f t="shared" ca="1" si="48"/>
        <v>94.500221561545516</v>
      </c>
      <c r="O20" s="3">
        <f t="shared" ca="1" si="48"/>
        <v>98.280230424007343</v>
      </c>
      <c r="P20" s="3">
        <f t="shared" ref="P20" ca="1" si="49">MIN(MAX(P17,P19),P18)</f>
        <v>102.21143964096764</v>
      </c>
      <c r="Q20" s="3">
        <f t="shared" ref="Q20" ca="1" si="50">MIN(MAX(Q17,Q19),Q18)</f>
        <v>106.29989722660635</v>
      </c>
      <c r="R20" s="3">
        <f t="shared" ref="R20" ca="1" si="51">MIN(MAX(R17,R19),R18)</f>
        <v>110.55189311567061</v>
      </c>
      <c r="S20" s="3">
        <f t="shared" ref="S20" ca="1" si="52">MIN(MAX(S17,S19),S18)</f>
        <v>114.97396884029743</v>
      </c>
      <c r="T20" s="3">
        <f t="shared" ref="T20" ca="1" si="53">MIN(MAX(T17,T19),T18)</f>
        <v>119.57292759390933</v>
      </c>
      <c r="U20" s="3">
        <f t="shared" ref="U20" ca="1" si="54">MIN(MAX(U17,U19),U18)</f>
        <v>124.3558446976657</v>
      </c>
      <c r="V20" s="3">
        <f t="shared" ref="V20" ca="1" si="55">MIN(MAX(V17,V19),V18)</f>
        <v>129.33007848557233</v>
      </c>
      <c r="W20" s="3">
        <f t="shared" ref="W20" ca="1" si="56">MIN(MAX(W17,W19),W18)</f>
        <v>134.50328162499522</v>
      </c>
      <c r="X20" s="3">
        <f t="shared" ref="X20" ca="1" si="57">MIN(MAX(X17,X19),X18)</f>
        <v>139.88341288999504</v>
      </c>
      <c r="Y20" s="3">
        <f t="shared" ref="Y20" ca="1" si="58">MIN(MAX(Y17,Y19),Y18)</f>
        <v>145.47874940559484</v>
      </c>
      <c r="Z20" s="3">
        <f t="shared" ref="Z20" ca="1" si="59">MIN(MAX(Z17,Z19),Z18)</f>
        <v>151.29789938181864</v>
      </c>
      <c r="AA20" s="3">
        <f t="shared" ref="AA20" ca="1" si="60">MIN(MAX(AA17,AA19),AA18)</f>
        <v>157.34981535709139</v>
      </c>
      <c r="AB20" s="3">
        <f t="shared" ref="AB20" ca="1" si="61">MIN(MAX(AB17,AB19),AB18)</f>
        <v>163.64380797137505</v>
      </c>
      <c r="AC20" s="3">
        <f t="shared" ref="AC20" ca="1" si="62">MIN(MAX(AC17,AC19),AC18)</f>
        <v>170.18956029023005</v>
      </c>
    </row>
    <row r="21" spans="2:29" x14ac:dyDescent="0.2">
      <c r="B21" s="1"/>
      <c r="E21" s="3"/>
    </row>
    <row r="22" spans="2:29" x14ac:dyDescent="0.2">
      <c r="C22" t="s">
        <v>0</v>
      </c>
      <c r="E22" s="3">
        <f ca="1">E20</f>
        <v>70.412635843803557</v>
      </c>
      <c r="F22" s="3">
        <f t="shared" ref="F22:AC22" ca="1" si="63">F20</f>
        <v>71.124506359424259</v>
      </c>
      <c r="G22" s="3">
        <f t="shared" ca="1" si="63"/>
        <v>71.891106609368251</v>
      </c>
      <c r="H22" s="3">
        <f t="shared" ca="1" si="63"/>
        <v>74.743166675570635</v>
      </c>
      <c r="I22" s="3">
        <f t="shared" ca="1" si="63"/>
        <v>77.704940688658922</v>
      </c>
      <c r="J22" s="3">
        <f t="shared" ca="1" si="63"/>
        <v>80.789236616095721</v>
      </c>
      <c r="K22" s="3">
        <f t="shared" ca="1" si="63"/>
        <v>84.010352861808627</v>
      </c>
      <c r="L22" s="3">
        <f t="shared" ca="1" si="63"/>
        <v>87.370766976280976</v>
      </c>
      <c r="M22" s="3">
        <f t="shared" ca="1" si="63"/>
        <v>90.865597655332223</v>
      </c>
      <c r="N22" s="3">
        <f t="shared" ca="1" si="63"/>
        <v>94.500221561545516</v>
      </c>
      <c r="O22" s="3">
        <f t="shared" ca="1" si="63"/>
        <v>98.280230424007343</v>
      </c>
      <c r="P22" s="3">
        <f t="shared" ca="1" si="63"/>
        <v>102.21143964096764</v>
      </c>
      <c r="Q22" s="3">
        <f t="shared" ca="1" si="63"/>
        <v>106.29989722660635</v>
      </c>
      <c r="R22" s="3">
        <f t="shared" ca="1" si="63"/>
        <v>110.55189311567061</v>
      </c>
      <c r="S22" s="3">
        <f t="shared" ca="1" si="63"/>
        <v>114.97396884029743</v>
      </c>
      <c r="T22" s="3">
        <f t="shared" ca="1" si="63"/>
        <v>119.57292759390933</v>
      </c>
      <c r="U22" s="3">
        <f t="shared" ca="1" si="63"/>
        <v>124.3558446976657</v>
      </c>
      <c r="V22" s="3">
        <f t="shared" ca="1" si="63"/>
        <v>129.33007848557233</v>
      </c>
      <c r="W22" s="3">
        <f t="shared" ca="1" si="63"/>
        <v>134.50328162499522</v>
      </c>
      <c r="X22" s="3">
        <f t="shared" ca="1" si="63"/>
        <v>139.88341288999504</v>
      </c>
      <c r="Y22" s="3">
        <f t="shared" ca="1" si="63"/>
        <v>145.47874940559484</v>
      </c>
      <c r="Z22" s="3">
        <f t="shared" ca="1" si="63"/>
        <v>151.29789938181864</v>
      </c>
      <c r="AA22" s="3">
        <f t="shared" ca="1" si="63"/>
        <v>157.34981535709139</v>
      </c>
      <c r="AB22" s="3">
        <f t="shared" ca="1" si="63"/>
        <v>163.64380797137505</v>
      </c>
      <c r="AC22" s="3">
        <f t="shared" ca="1" si="63"/>
        <v>170.18956029023005</v>
      </c>
    </row>
    <row r="23" spans="2:29" x14ac:dyDescent="0.2">
      <c r="E23" s="3"/>
      <c r="F23" s="25">
        <f ca="1">F22/E22-1</f>
        <v>1.0109982492344738E-2</v>
      </c>
      <c r="G23" s="25">
        <f t="shared" ref="G23:AC23" ca="1" si="64">G22/F22-1</f>
        <v>1.0778285701836809E-2</v>
      </c>
      <c r="H23" s="25">
        <f t="shared" ca="1" si="64"/>
        <v>3.9671945539794029E-2</v>
      </c>
      <c r="I23" s="25">
        <f t="shared" ca="1" si="64"/>
        <v>3.9626017264482893E-2</v>
      </c>
      <c r="J23" s="25">
        <f t="shared" ca="1" si="64"/>
        <v>3.9692404370973877E-2</v>
      </c>
      <c r="K23" s="25">
        <f t="shared" ca="1" si="64"/>
        <v>3.987061124267588E-2</v>
      </c>
      <c r="L23" s="25">
        <f t="shared" ca="1" si="64"/>
        <v>4.0000000000000036E-2</v>
      </c>
      <c r="M23" s="25">
        <f t="shared" ca="1" si="64"/>
        <v>4.0000000000000036E-2</v>
      </c>
      <c r="N23" s="25">
        <f t="shared" ca="1" si="64"/>
        <v>4.0000000000000036E-2</v>
      </c>
      <c r="O23" s="25">
        <f t="shared" ca="1" si="64"/>
        <v>4.0000000000000036E-2</v>
      </c>
      <c r="P23" s="25">
        <f t="shared" ca="1" si="64"/>
        <v>4.0000000000000036E-2</v>
      </c>
      <c r="Q23" s="25">
        <f t="shared" ca="1" si="64"/>
        <v>4.0000000000000036E-2</v>
      </c>
      <c r="R23" s="25">
        <f t="shared" ca="1" si="64"/>
        <v>4.0000000000000036E-2</v>
      </c>
      <c r="S23" s="25">
        <f t="shared" ca="1" si="64"/>
        <v>4.0000000000000036E-2</v>
      </c>
      <c r="T23" s="25">
        <f t="shared" ca="1" si="64"/>
        <v>4.0000000000000036E-2</v>
      </c>
      <c r="U23" s="25">
        <f t="shared" ca="1" si="64"/>
        <v>4.0000000000000036E-2</v>
      </c>
      <c r="V23" s="25">
        <f t="shared" ca="1" si="64"/>
        <v>4.0000000000000036E-2</v>
      </c>
      <c r="W23" s="25">
        <f t="shared" ca="1" si="64"/>
        <v>4.0000000000000036E-2</v>
      </c>
      <c r="X23" s="25">
        <f t="shared" ca="1" si="64"/>
        <v>4.0000000000000036E-2</v>
      </c>
      <c r="Y23" s="25">
        <f t="shared" ca="1" si="64"/>
        <v>4.0000000000000036E-2</v>
      </c>
      <c r="Z23" s="25">
        <f t="shared" ca="1" si="64"/>
        <v>4.0000000000000036E-2</v>
      </c>
      <c r="AA23" s="25">
        <f t="shared" ca="1" si="64"/>
        <v>4.0000000000000036E-2</v>
      </c>
      <c r="AB23" s="25">
        <f t="shared" ca="1" si="64"/>
        <v>4.0000000000000036E-2</v>
      </c>
      <c r="AC23" s="25">
        <f t="shared" ca="1" si="64"/>
        <v>4.0000000000000036E-2</v>
      </c>
    </row>
    <row r="24" spans="2:29" x14ac:dyDescent="0.2">
      <c r="C24" t="s">
        <v>1</v>
      </c>
      <c r="D24" s="4">
        <v>-10</v>
      </c>
      <c r="E24" s="3">
        <f>$D24*E$12*(1+$J2)^(E13)*NOT(D$15)</f>
        <v>-10.199999999999999</v>
      </c>
      <c r="F24" s="3">
        <f>$D24*F$12*(1+$J2)^(F13)*NOT(E$15)</f>
        <v>-10.404</v>
      </c>
      <c r="G24" s="3">
        <f>$D24*G$12*(1+$J2)^(G13)*NOT(F$15)</f>
        <v>-10.612079999999999</v>
      </c>
      <c r="H24" s="3">
        <f>$D24*H$12*(1+$J2)^(H13)*NOT(G$15)</f>
        <v>-10.824321599999999</v>
      </c>
      <c r="I24" s="3">
        <f>$D24*I$12*(1+$J2)^(I13)*NOT(H$15)</f>
        <v>-11.040808032000001</v>
      </c>
      <c r="J24" s="3">
        <f>$D24*J$12*(1+$J2)^(J13)*NOT(I$15)</f>
        <v>-11.261624192640001</v>
      </c>
      <c r="K24" s="3">
        <f>$D24*K$12*(1+$J2)^(K13)*NOT(J$15)</f>
        <v>-11.486856676492799</v>
      </c>
      <c r="L24" s="3">
        <f>$D24*L$12*(1+$J2)^(L13)*NOT(K$15)</f>
        <v>-11.716593810022655</v>
      </c>
      <c r="M24" s="3">
        <f>$D24*M$12*(1+$J2)^(M13)*NOT(L$15)</f>
        <v>-11.950925686223108</v>
      </c>
      <c r="N24" s="3">
        <f>$D24*N$12*(1+$J2)^(N13)*NOT(M$15)</f>
        <v>-12.189944199947572</v>
      </c>
      <c r="O24" s="3">
        <f>$D24*O$12*(1+$J2)^(O13)*NOT(N$15)</f>
        <v>-12.433743083946521</v>
      </c>
      <c r="P24" s="3">
        <f>$D24*P$12*(1+$J2)^(P13)*NOT(O$15)</f>
        <v>-12.682417945625453</v>
      </c>
      <c r="Q24" s="3">
        <f>$D24*Q$12*(1+$J2)^(Q13)*NOT(P$15)</f>
        <v>-12.936066304537961</v>
      </c>
      <c r="R24" s="3">
        <f>$D24*R$12*(1+$J2)^(R13)*NOT(Q$15)</f>
        <v>-13.194787630628721</v>
      </c>
      <c r="S24" s="3">
        <f>$D24*S$12*(1+$J2)^(S13)*NOT(R$15)</f>
        <v>-13.458683383241292</v>
      </c>
      <c r="T24" s="3">
        <f>$D24*T$12*(1+$J2)^(T13)*NOT(S$15)</f>
        <v>-13.72785705090612</v>
      </c>
      <c r="U24" s="3">
        <f>$D24*U$12*(1+$J2)^(U13)*NOT(T$15)</f>
        <v>-14.002414191924244</v>
      </c>
      <c r="V24" s="3">
        <f>$D24*V$12*(1+$J2)^(V13)*NOT(U$15)</f>
        <v>-14.282462475762728</v>
      </c>
      <c r="W24" s="3">
        <f>$D24*W$12*(1+$J2)^(W13)*NOT(V$15)</f>
        <v>-14.568111725277982</v>
      </c>
      <c r="X24" s="3">
        <f>$D24*X$12*(1+$J2)^(X13)*NOT(W$15)</f>
        <v>-14.859473959783543</v>
      </c>
      <c r="Y24" s="3">
        <f t="shared" ref="Y24:AC24" si="65">$D24*Y$12*(1+$J2)^(Y13)*NOT(X$15)</f>
        <v>-15.156663438979212</v>
      </c>
      <c r="Z24" s="3">
        <f t="shared" si="65"/>
        <v>-15.459796707758798</v>
      </c>
      <c r="AA24" s="3">
        <f t="shared" si="65"/>
        <v>-15.76899264191397</v>
      </c>
      <c r="AB24" s="3">
        <f t="shared" si="65"/>
        <v>-16.084372494752252</v>
      </c>
      <c r="AC24" s="3">
        <f t="shared" si="65"/>
        <v>-16.406059944647296</v>
      </c>
    </row>
    <row r="25" spans="2:29" hidden="1" outlineLevel="1" x14ac:dyDescent="0.2">
      <c r="C25" t="s">
        <v>2</v>
      </c>
      <c r="E25" s="3">
        <f ca="1">E22+E24</f>
        <v>60.212635843803554</v>
      </c>
      <c r="F25" s="3">
        <f t="shared" ref="F25:N25" ca="1" si="66">F22+F24</f>
        <v>60.720506359424263</v>
      </c>
      <c r="G25" s="3">
        <f t="shared" ca="1" si="66"/>
        <v>61.279026609368252</v>
      </c>
      <c r="H25" s="3">
        <f t="shared" ca="1" si="66"/>
        <v>63.918845075570637</v>
      </c>
      <c r="I25" s="3">
        <f t="shared" ca="1" si="66"/>
        <v>66.664132656658921</v>
      </c>
      <c r="J25" s="3">
        <f t="shared" ca="1" si="66"/>
        <v>69.527612423455722</v>
      </c>
      <c r="K25" s="3">
        <f t="shared" ca="1" si="66"/>
        <v>72.523496185315821</v>
      </c>
      <c r="L25" s="3">
        <f t="shared" ca="1" si="66"/>
        <v>75.654173166258317</v>
      </c>
      <c r="M25" s="3">
        <f t="shared" ca="1" si="66"/>
        <v>78.914671969109122</v>
      </c>
      <c r="N25" s="3">
        <f t="shared" ca="1" si="66"/>
        <v>82.31027736159794</v>
      </c>
      <c r="O25" s="3">
        <f t="shared" ref="O25" ca="1" si="67">O22+O24</f>
        <v>85.846487340060818</v>
      </c>
      <c r="P25" s="3">
        <f t="shared" ref="P25" ca="1" si="68">P22+P24</f>
        <v>89.52902169534218</v>
      </c>
      <c r="Q25" s="3">
        <f t="shared" ref="Q25" ca="1" si="69">Q22+Q24</f>
        <v>93.363830922068388</v>
      </c>
      <c r="R25" s="3">
        <f t="shared" ref="R25" ca="1" si="70">R22+R24</f>
        <v>97.357105485041885</v>
      </c>
      <c r="S25" s="3">
        <f t="shared" ref="S25" ca="1" si="71">S22+S24</f>
        <v>101.51528545705614</v>
      </c>
      <c r="T25" s="3">
        <f t="shared" ref="T25" ca="1" si="72">T22+T24</f>
        <v>105.8450705430032</v>
      </c>
      <c r="U25" s="3">
        <f t="shared" ref="U25" ca="1" si="73">U22+U24</f>
        <v>110.35343050574146</v>
      </c>
      <c r="V25" s="3">
        <f t="shared" ref="V25" ca="1" si="74">V22+V24</f>
        <v>115.0476160098096</v>
      </c>
      <c r="W25" s="3">
        <f t="shared" ref="W25" ca="1" si="75">W22+W24</f>
        <v>119.93516989971724</v>
      </c>
      <c r="X25" s="3">
        <f t="shared" ref="X25:AC25" ca="1" si="76">X22+X24</f>
        <v>125.0239389302115</v>
      </c>
      <c r="Y25" s="3">
        <f t="shared" ca="1" si="76"/>
        <v>130.32208596661562</v>
      </c>
      <c r="Z25" s="3">
        <f t="shared" ca="1" si="76"/>
        <v>135.83810267405983</v>
      </c>
      <c r="AA25" s="3">
        <f t="shared" ca="1" si="76"/>
        <v>141.58082271517742</v>
      </c>
      <c r="AB25" s="3">
        <f t="shared" ca="1" si="76"/>
        <v>147.55943547662281</v>
      </c>
      <c r="AC25" s="3">
        <f t="shared" ca="1" si="76"/>
        <v>153.78350034558275</v>
      </c>
    </row>
    <row r="26" spans="2:29" hidden="1" outlineLevel="1" x14ac:dyDescent="0.2">
      <c r="B26" s="26">
        <f ca="1">SUMPRODUCT(E26:AC26,E22:AC22)/SUM(E22:AC22)</f>
        <v>0.88211132279674875</v>
      </c>
      <c r="C26" t="s">
        <v>40</v>
      </c>
      <c r="E26" s="13">
        <f ca="1">E25/E22</f>
        <v>0.85513963683128302</v>
      </c>
      <c r="F26" s="13">
        <f t="shared" ref="F26:AC26" ca="1" si="77">F25/F22</f>
        <v>0.85372130461723161</v>
      </c>
      <c r="G26" s="13">
        <f t="shared" ca="1" si="77"/>
        <v>0.85238674850753904</v>
      </c>
      <c r="H26" s="13">
        <f t="shared" ca="1" si="77"/>
        <v>0.8551797832304332</v>
      </c>
      <c r="I26" s="13">
        <f t="shared" ca="1" si="77"/>
        <v>0.85791369333595779</v>
      </c>
      <c r="J26" s="13">
        <f t="shared" ca="1" si="77"/>
        <v>0.86060489411288321</v>
      </c>
      <c r="K26" s="13">
        <f t="shared" ca="1" si="77"/>
        <v>0.86326855815749381</v>
      </c>
      <c r="L26" s="13">
        <f t="shared" ca="1" si="77"/>
        <v>0.86589800896215752</v>
      </c>
      <c r="M26" s="13">
        <f t="shared" ca="1" si="77"/>
        <v>0.86847689340519307</v>
      </c>
      <c r="N26" s="13">
        <f t="shared" ca="1" si="77"/>
        <v>0.87100618391663154</v>
      </c>
      <c r="O26" s="13">
        <f t="shared" ca="1" si="77"/>
        <v>0.8734868342259271</v>
      </c>
      <c r="P26" s="13">
        <f t="shared" ca="1" si="77"/>
        <v>0.8759197797215823</v>
      </c>
      <c r="Q26" s="13">
        <f t="shared" ca="1" si="77"/>
        <v>0.87830593780385968</v>
      </c>
      <c r="R26" s="13">
        <f t="shared" ca="1" si="77"/>
        <v>0.88064620823070849</v>
      </c>
      <c r="S26" s="13">
        <f t="shared" ca="1" si="77"/>
        <v>0.88294147345704099</v>
      </c>
      <c r="T26" s="13">
        <f t="shared" ca="1" si="77"/>
        <v>0.88519259896748248</v>
      </c>
      <c r="U26" s="13">
        <f t="shared" ca="1" si="77"/>
        <v>0.88740043360272325</v>
      </c>
      <c r="V26" s="13">
        <f t="shared" ca="1" si="77"/>
        <v>0.88956580987959399</v>
      </c>
      <c r="W26" s="13">
        <f t="shared" ca="1" si="77"/>
        <v>0.89168954430498637</v>
      </c>
      <c r="X26" s="13">
        <f t="shared" ca="1" si="77"/>
        <v>0.89377243768373671</v>
      </c>
      <c r="Y26" s="13">
        <f t="shared" ca="1" si="77"/>
        <v>0.89581527542058781</v>
      </c>
      <c r="Z26" s="13">
        <f t="shared" ca="1" si="77"/>
        <v>0.8978188278163457</v>
      </c>
      <c r="AA26" s="13">
        <f t="shared" ca="1" si="77"/>
        <v>0.89978385035833919</v>
      </c>
      <c r="AB26" s="13">
        <f t="shared" ca="1" si="77"/>
        <v>0.90171108400529421</v>
      </c>
      <c r="AC26" s="13">
        <f t="shared" ca="1" si="77"/>
        <v>0.90360125546673087</v>
      </c>
    </row>
    <row r="27" spans="2:29" hidden="1" outlineLevel="1" x14ac:dyDescent="0.2">
      <c r="C27" t="s">
        <v>4</v>
      </c>
      <c r="E27" s="3">
        <f>-E54</f>
        <v>-40</v>
      </c>
      <c r="F27" s="3">
        <f t="shared" ref="F27:N27" ca="1" si="78">-F54</f>
        <v>-39.59149456624786</v>
      </c>
      <c r="G27" s="3">
        <f t="shared" ca="1" si="78"/>
        <v>-39.142249040183287</v>
      </c>
      <c r="H27" s="3">
        <f t="shared" ca="1" si="78"/>
        <v>-38.64820042781772</v>
      </c>
      <c r="I27" s="3">
        <f t="shared" ca="1" si="78"/>
        <v>-38.104880534309743</v>
      </c>
      <c r="J27" s="3">
        <f t="shared" ca="1" si="78"/>
        <v>-37.507375553437349</v>
      </c>
      <c r="K27" s="3">
        <f t="shared" ca="1" si="78"/>
        <v>-36.850281626943612</v>
      </c>
      <c r="L27" s="3">
        <f t="shared" ca="1" si="78"/>
        <v>-36.127655971832674</v>
      </c>
      <c r="M27" s="3">
        <f t="shared" ca="1" si="78"/>
        <v>-35.332963133609518</v>
      </c>
      <c r="N27" s="3">
        <f t="shared" ca="1" si="78"/>
        <v>-34.459015879375606</v>
      </c>
      <c r="O27" s="3">
        <f t="shared" ref="O27:X27" ca="1" si="79">-O54</f>
        <v>-33.497910196215415</v>
      </c>
      <c r="P27" s="3">
        <f t="shared" ca="1" si="79"/>
        <v>-32.440953806996525</v>
      </c>
      <c r="Q27" s="3">
        <f t="shared" ca="1" si="79"/>
        <v>-31.278587557077671</v>
      </c>
      <c r="R27" s="3">
        <f t="shared" ca="1" si="79"/>
        <v>-30.000298960942757</v>
      </c>
      <c r="S27" s="3">
        <f t="shared" ca="1" si="79"/>
        <v>-28.594527126873569</v>
      </c>
      <c r="T27" s="3">
        <f t="shared" ca="1" si="79"/>
        <v>-27.048558199795934</v>
      </c>
      <c r="U27" s="3">
        <f t="shared" ca="1" si="79"/>
        <v>-25.348410376680619</v>
      </c>
      <c r="V27" s="3">
        <f t="shared" ca="1" si="79"/>
        <v>-23.478707454573573</v>
      </c>
      <c r="W27" s="3">
        <f t="shared" ca="1" si="79"/>
        <v>-21.422539767619142</v>
      </c>
      <c r="X27" s="3">
        <f t="shared" ca="1" si="79"/>
        <v>-19.161311255385215</v>
      </c>
      <c r="Y27" s="3">
        <f t="shared" ref="Y27:AC27" ca="1" si="80">-Y54</f>
        <v>-16.674571279370326</v>
      </c>
      <c r="Z27" s="3">
        <f t="shared" ca="1" si="80"/>
        <v>-13.93982966663464</v>
      </c>
      <c r="AA27" s="3">
        <f t="shared" ca="1" si="80"/>
        <v>-10.932353307802254</v>
      </c>
      <c r="AB27" s="3">
        <f t="shared" ca="1" si="80"/>
        <v>-7.6249424698592634</v>
      </c>
      <c r="AC27" s="3">
        <f t="shared" ca="1" si="80"/>
        <v>-3.9876848007118109</v>
      </c>
    </row>
    <row r="28" spans="2:29" hidden="1" outlineLevel="1" x14ac:dyDescent="0.2">
      <c r="C28" t="s">
        <v>3</v>
      </c>
      <c r="E28" s="3"/>
      <c r="F28" s="3"/>
      <c r="G28" s="3"/>
      <c r="H28" s="3"/>
      <c r="I28" s="3"/>
      <c r="J28" s="3"/>
      <c r="K28" s="3"/>
      <c r="L28" s="3"/>
      <c r="M28" s="3"/>
      <c r="N28" s="3"/>
      <c r="O28" s="3">
        <f ca="1">-(O25+O27)*$J3</f>
        <v>-15.70457314315362</v>
      </c>
      <c r="P28" s="3">
        <f ca="1">-(P25+P27)*$J3</f>
        <v>-17.126420366503694</v>
      </c>
      <c r="Q28" s="3">
        <f ca="1">-(Q25+Q27)*$J3</f>
        <v>-18.625573009497213</v>
      </c>
      <c r="R28" s="3">
        <f ca="1">-(R25+R27)*$J3</f>
        <v>-20.207041957229738</v>
      </c>
      <c r="S28" s="3">
        <f ca="1">-(S25+S27)*$J3</f>
        <v>-21.876227499054767</v>
      </c>
      <c r="T28" s="3">
        <f ca="1">-(T25+T27)*$J3</f>
        <v>-23.63895370296218</v>
      </c>
      <c r="U28" s="3">
        <f ca="1">-(U25+U27)*$J3</f>
        <v>-25.501506038718251</v>
      </c>
      <c r="V28" s="3">
        <f ca="1">-(V25+V27)*$J3</f>
        <v>-27.470672566570805</v>
      </c>
      <c r="W28" s="3">
        <f ca="1">-(W25+W27)*$J3</f>
        <v>-29.553789039629429</v>
      </c>
      <c r="X28" s="3">
        <f ca="1">-(X25+X27)*$J3</f>
        <v>-31.758788302447883</v>
      </c>
      <c r="Y28" s="3">
        <f t="shared" ref="Y28:AC28" ca="1" si="81">-(Y25+Y27)*$J3</f>
        <v>-34.094254406173583</v>
      </c>
      <c r="Z28" s="3">
        <f t="shared" ca="1" si="81"/>
        <v>-36.569481902227558</v>
      </c>
      <c r="AA28" s="3">
        <f t="shared" ca="1" si="81"/>
        <v>-39.194540822212545</v>
      </c>
      <c r="AB28" s="3">
        <f t="shared" ca="1" si="81"/>
        <v>-41.98034790202906</v>
      </c>
      <c r="AC28" s="3">
        <f t="shared" ca="1" si="81"/>
        <v>-44.938744663461286</v>
      </c>
    </row>
    <row r="29" spans="2:29" hidden="1" outlineLevel="1" x14ac:dyDescent="0.2">
      <c r="C29" t="s">
        <v>5</v>
      </c>
      <c r="E29" s="3">
        <f ca="1">E25+E27+E28</f>
        <v>20.212635843803554</v>
      </c>
      <c r="F29" s="3">
        <f t="shared" ref="F29:N29" ca="1" si="82">F25+F27+F28</f>
        <v>21.129011793176403</v>
      </c>
      <c r="G29" s="3">
        <f t="shared" ca="1" si="82"/>
        <v>22.136777569184964</v>
      </c>
      <c r="H29" s="3">
        <f t="shared" ca="1" si="82"/>
        <v>25.270644647752917</v>
      </c>
      <c r="I29" s="3">
        <f t="shared" ca="1" si="82"/>
        <v>28.559252122349179</v>
      </c>
      <c r="J29" s="3">
        <f t="shared" ca="1" si="82"/>
        <v>32.020236870018373</v>
      </c>
      <c r="K29" s="3">
        <f t="shared" ca="1" si="82"/>
        <v>35.673214558372209</v>
      </c>
      <c r="L29" s="3">
        <f t="shared" ca="1" si="82"/>
        <v>39.526517194425644</v>
      </c>
      <c r="M29" s="3">
        <f t="shared" ca="1" si="82"/>
        <v>43.581708835499605</v>
      </c>
      <c r="N29" s="3">
        <f t="shared" ca="1" si="82"/>
        <v>47.851261482222334</v>
      </c>
      <c r="O29" s="3">
        <f t="shared" ref="O29" ca="1" si="83">O25+O27+O28</f>
        <v>36.64400400069178</v>
      </c>
      <c r="P29" s="3">
        <f t="shared" ref="P29" ca="1" si="84">P25+P27+P28</f>
        <v>39.961647521841961</v>
      </c>
      <c r="Q29" s="3">
        <f t="shared" ref="Q29" ca="1" si="85">Q25+Q27+Q28</f>
        <v>43.4596703554935</v>
      </c>
      <c r="R29" s="3">
        <f t="shared" ref="R29" ca="1" si="86">R25+R27+R28</f>
        <v>47.149764566869393</v>
      </c>
      <c r="S29" s="3">
        <f t="shared" ref="S29" ca="1" si="87">S25+S27+S28</f>
        <v>51.044530831127801</v>
      </c>
      <c r="T29" s="3">
        <f t="shared" ref="T29" ca="1" si="88">T25+T27+T28</f>
        <v>55.157558640245085</v>
      </c>
      <c r="U29" s="3">
        <f t="shared" ref="U29" ca="1" si="89">U25+U27+U28</f>
        <v>59.503514090342591</v>
      </c>
      <c r="V29" s="3">
        <f t="shared" ref="V29" ca="1" si="90">V25+V27+V28</f>
        <v>64.098235988665209</v>
      </c>
      <c r="W29" s="3">
        <f t="shared" ref="W29" ca="1" si="91">W25+W27+W28</f>
        <v>68.958841092468674</v>
      </c>
      <c r="X29" s="3">
        <f t="shared" ref="X29:AC29" ca="1" si="92">X25+X27+X28</f>
        <v>74.103839372378403</v>
      </c>
      <c r="Y29" s="3">
        <f t="shared" ca="1" si="92"/>
        <v>79.553260281071715</v>
      </c>
      <c r="Z29" s="3">
        <f t="shared" ca="1" si="92"/>
        <v>85.328791105197638</v>
      </c>
      <c r="AA29" s="3">
        <f t="shared" ca="1" si="92"/>
        <v>91.453928585162615</v>
      </c>
      <c r="AB29" s="3">
        <f t="shared" ca="1" si="92"/>
        <v>97.954145104734494</v>
      </c>
      <c r="AC29" s="3">
        <f t="shared" ca="1" si="92"/>
        <v>104.85707088140967</v>
      </c>
    </row>
    <row r="30" spans="2:29" hidden="1" outlineLevel="1" x14ac:dyDescent="0.2">
      <c r="C30" t="s">
        <v>6</v>
      </c>
      <c r="E30" s="3">
        <f ca="1">E52</f>
        <v>-8.1701086750428367</v>
      </c>
      <c r="F30" s="3">
        <f t="shared" ref="F30:N30" ca="1" si="93">F52</f>
        <v>-8.9849105212915568</v>
      </c>
      <c r="G30" s="3">
        <f t="shared" ca="1" si="93"/>
        <v>-9.8809722473113162</v>
      </c>
      <c r="H30" s="3">
        <f t="shared" ca="1" si="93"/>
        <v>-10.866397870159522</v>
      </c>
      <c r="I30" s="3">
        <f t="shared" ca="1" si="93"/>
        <v>-11.950099617447812</v>
      </c>
      <c r="J30" s="3">
        <f t="shared" ca="1" si="93"/>
        <v>-13.141878529874768</v>
      </c>
      <c r="K30" s="3">
        <f t="shared" ca="1" si="93"/>
        <v>-14.452513102218717</v>
      </c>
      <c r="L30" s="3">
        <f t="shared" ca="1" si="93"/>
        <v>-15.893856764463193</v>
      </c>
      <c r="M30" s="3">
        <f t="shared" ca="1" si="93"/>
        <v>-17.478945084678152</v>
      </c>
      <c r="N30" s="3">
        <f t="shared" ca="1" si="93"/>
        <v>-19.222113663203952</v>
      </c>
      <c r="O30" s="3">
        <f t="shared" ref="O30:X30" ca="1" si="94">O52</f>
        <v>-21.139127784377706</v>
      </c>
      <c r="P30" s="3">
        <f t="shared" ca="1" si="94"/>
        <v>-23.24732499837722</v>
      </c>
      <c r="Q30" s="3">
        <f t="shared" ca="1" si="94"/>
        <v>-25.565771922698268</v>
      </c>
      <c r="R30" s="3">
        <f t="shared" ca="1" si="94"/>
        <v>-28.115436681383866</v>
      </c>
      <c r="S30" s="3">
        <f t="shared" ca="1" si="94"/>
        <v>-30.919378541552629</v>
      </c>
      <c r="T30" s="3">
        <f t="shared" ca="1" si="94"/>
        <v>-34.002956462306301</v>
      </c>
      <c r="U30" s="3">
        <f t="shared" ca="1" si="94"/>
        <v>-37.394058442140945</v>
      </c>
      <c r="V30" s="3">
        <f t="shared" ca="1" si="94"/>
        <v>-41.123353739088657</v>
      </c>
      <c r="W30" s="3">
        <f t="shared" ca="1" si="94"/>
        <v>-45.224570244678517</v>
      </c>
      <c r="X30" s="3">
        <f t="shared" ca="1" si="94"/>
        <v>-49.734799520297763</v>
      </c>
      <c r="Y30" s="3">
        <f t="shared" ref="Y30:AC30" ca="1" si="95">Y52</f>
        <v>-54.694832254713752</v>
      </c>
      <c r="Z30" s="3">
        <f t="shared" ca="1" si="95"/>
        <v>-60.149527176647709</v>
      </c>
      <c r="AA30" s="3">
        <f t="shared" ca="1" si="95"/>
        <v>-66.148216758859803</v>
      </c>
      <c r="AB30" s="3">
        <f t="shared" ca="1" si="95"/>
        <v>-72.745153382949056</v>
      </c>
      <c r="AC30" s="3">
        <f t="shared" ca="1" si="95"/>
        <v>-79.753696014236212</v>
      </c>
    </row>
    <row r="31" spans="2:29" hidden="1" outlineLevel="1" x14ac:dyDescent="0.2">
      <c r="C31" t="s">
        <v>15</v>
      </c>
      <c r="E31" s="3">
        <f ca="1">E29+E30</f>
        <v>12.042527168760717</v>
      </c>
      <c r="F31" s="3">
        <f t="shared" ref="F31:N31" ca="1" si="96">F29+F30</f>
        <v>12.144101271884846</v>
      </c>
      <c r="G31" s="3">
        <f t="shared" ca="1" si="96"/>
        <v>12.255805321873648</v>
      </c>
      <c r="H31" s="3">
        <f t="shared" ca="1" si="96"/>
        <v>14.404246777593395</v>
      </c>
      <c r="I31" s="3">
        <f t="shared" ca="1" si="96"/>
        <v>16.609152504901367</v>
      </c>
      <c r="J31" s="3">
        <f t="shared" ca="1" si="96"/>
        <v>18.878358340143606</v>
      </c>
      <c r="K31" s="3">
        <f t="shared" ca="1" si="96"/>
        <v>21.220701456153492</v>
      </c>
      <c r="L31" s="3">
        <f t="shared" ca="1" si="96"/>
        <v>23.632660429962449</v>
      </c>
      <c r="M31" s="3">
        <f t="shared" ca="1" si="96"/>
        <v>26.102763750821453</v>
      </c>
      <c r="N31" s="3">
        <f t="shared" ca="1" si="96"/>
        <v>28.629147819018382</v>
      </c>
      <c r="O31" s="3">
        <f t="shared" ref="O31" ca="1" si="97">O29+O30</f>
        <v>15.504876216314074</v>
      </c>
      <c r="P31" s="3">
        <f t="shared" ref="P31" ca="1" si="98">P29+P30</f>
        <v>16.714322523464741</v>
      </c>
      <c r="Q31" s="3">
        <f t="shared" ref="Q31" ca="1" si="99">Q29+Q30</f>
        <v>17.893898432795233</v>
      </c>
      <c r="R31" s="3">
        <f t="shared" ref="R31" ca="1" si="100">R29+R30</f>
        <v>19.034327885485528</v>
      </c>
      <c r="S31" s="3">
        <f t="shared" ref="S31" ca="1" si="101">S29+S30</f>
        <v>20.125152289575173</v>
      </c>
      <c r="T31" s="3">
        <f t="shared" ref="T31" ca="1" si="102">T29+T30</f>
        <v>21.154602177938784</v>
      </c>
      <c r="U31" s="3">
        <f t="shared" ref="U31" ca="1" si="103">U29+U30</f>
        <v>22.109455648201646</v>
      </c>
      <c r="V31" s="3">
        <f t="shared" ref="V31" ca="1" si="104">V29+V30</f>
        <v>22.974882249576552</v>
      </c>
      <c r="W31" s="3">
        <f t="shared" ref="W31" ca="1" si="105">W29+W30</f>
        <v>23.734270847790157</v>
      </c>
      <c r="X31" s="3">
        <f t="shared" ref="X31:AC31" ca="1" si="106">X29+X30</f>
        <v>24.36903985208064</v>
      </c>
      <c r="Y31" s="3">
        <f t="shared" ca="1" si="106"/>
        <v>24.858428026357963</v>
      </c>
      <c r="Z31" s="3">
        <f t="shared" ca="1" si="106"/>
        <v>25.179263928549929</v>
      </c>
      <c r="AA31" s="3">
        <f t="shared" ca="1" si="106"/>
        <v>25.305711826302812</v>
      </c>
      <c r="AB31" s="3">
        <f t="shared" ca="1" si="106"/>
        <v>25.208991721785438</v>
      </c>
      <c r="AC31" s="3">
        <f t="shared" ca="1" si="106"/>
        <v>25.103374867173457</v>
      </c>
    </row>
    <row r="32" spans="2:29" collapsed="1" x14ac:dyDescent="0.2"/>
    <row r="33" spans="2:29" x14ac:dyDescent="0.2">
      <c r="C33" t="s">
        <v>16</v>
      </c>
      <c r="E33" s="3">
        <f ca="1">E30+E27</f>
        <v>-48.17010867504284</v>
      </c>
      <c r="F33" s="3">
        <f t="shared" ref="F33:N33" ca="1" si="107">F30+F27</f>
        <v>-48.576405087539413</v>
      </c>
      <c r="G33" s="3">
        <f t="shared" ca="1" si="107"/>
        <v>-49.023221287494607</v>
      </c>
      <c r="H33" s="3">
        <f t="shared" ca="1" si="107"/>
        <v>-49.514598297977244</v>
      </c>
      <c r="I33" s="3">
        <f t="shared" ca="1" si="107"/>
        <v>-50.054980151757555</v>
      </c>
      <c r="J33" s="3">
        <f t="shared" ca="1" si="107"/>
        <v>-50.649254083312115</v>
      </c>
      <c r="K33" s="3">
        <f t="shared" ca="1" si="107"/>
        <v>-51.302794729162329</v>
      </c>
      <c r="L33" s="3">
        <f t="shared" ca="1" si="107"/>
        <v>-52.021512736295868</v>
      </c>
      <c r="M33" s="3">
        <f t="shared" ca="1" si="107"/>
        <v>-52.81190821828767</v>
      </c>
      <c r="N33" s="3">
        <f t="shared" ca="1" si="107"/>
        <v>-53.681129542579555</v>
      </c>
      <c r="O33" s="3">
        <f t="shared" ref="O33:X33" ca="1" si="108">O30+O27</f>
        <v>-54.637037980593121</v>
      </c>
      <c r="P33" s="3">
        <f t="shared" ca="1" si="108"/>
        <v>-55.688278805373741</v>
      </c>
      <c r="Q33" s="3">
        <f t="shared" ca="1" si="108"/>
        <v>-56.844359479775939</v>
      </c>
      <c r="R33" s="3">
        <f t="shared" ca="1" si="108"/>
        <v>-58.115735642326626</v>
      </c>
      <c r="S33" s="3">
        <f t="shared" ca="1" si="108"/>
        <v>-59.513905668426197</v>
      </c>
      <c r="T33" s="3">
        <f t="shared" ca="1" si="108"/>
        <v>-61.051514662102235</v>
      </c>
      <c r="U33" s="3">
        <f t="shared" ca="1" si="108"/>
        <v>-62.742468818821564</v>
      </c>
      <c r="V33" s="3">
        <f t="shared" ca="1" si="108"/>
        <v>-64.602061193662223</v>
      </c>
      <c r="W33" s="3">
        <f t="shared" ca="1" si="108"/>
        <v>-66.647110012297659</v>
      </c>
      <c r="X33" s="3">
        <f t="shared" ca="1" si="108"/>
        <v>-68.896110775682985</v>
      </c>
      <c r="Y33" s="3">
        <f t="shared" ref="Y33:AC33" ca="1" si="109">Y30+Y27</f>
        <v>-71.369403534084086</v>
      </c>
      <c r="Z33" s="3">
        <f t="shared" ca="1" si="109"/>
        <v>-74.089356843282346</v>
      </c>
      <c r="AA33" s="3">
        <f t="shared" ca="1" si="109"/>
        <v>-77.080570066662062</v>
      </c>
      <c r="AB33" s="3">
        <f t="shared" ca="1" si="109"/>
        <v>-80.370095852808319</v>
      </c>
      <c r="AC33" s="3">
        <f t="shared" ca="1" si="109"/>
        <v>-83.741380814948016</v>
      </c>
    </row>
    <row r="34" spans="2:29" x14ac:dyDescent="0.2">
      <c r="C34" t="s">
        <v>17</v>
      </c>
      <c r="E34" s="3">
        <f ca="1">E25+E28</f>
        <v>60.212635843803554</v>
      </c>
      <c r="F34" s="3">
        <f t="shared" ref="F34:N34" ca="1" si="110">F25+F28</f>
        <v>60.720506359424263</v>
      </c>
      <c r="G34" s="3">
        <f t="shared" ca="1" si="110"/>
        <v>61.279026609368252</v>
      </c>
      <c r="H34" s="3">
        <f t="shared" ca="1" si="110"/>
        <v>63.918845075570637</v>
      </c>
      <c r="I34" s="3">
        <f t="shared" ca="1" si="110"/>
        <v>66.664132656658921</v>
      </c>
      <c r="J34" s="3">
        <f t="shared" ca="1" si="110"/>
        <v>69.527612423455722</v>
      </c>
      <c r="K34" s="3">
        <f t="shared" ca="1" si="110"/>
        <v>72.523496185315821</v>
      </c>
      <c r="L34" s="3">
        <f t="shared" ca="1" si="110"/>
        <v>75.654173166258317</v>
      </c>
      <c r="M34" s="3">
        <f t="shared" ca="1" si="110"/>
        <v>78.914671969109122</v>
      </c>
      <c r="N34" s="3">
        <f t="shared" ca="1" si="110"/>
        <v>82.31027736159794</v>
      </c>
      <c r="O34" s="3">
        <f t="shared" ref="O34:X34" ca="1" si="111">O25+O28</f>
        <v>70.141914196907194</v>
      </c>
      <c r="P34" s="3">
        <f t="shared" ca="1" si="111"/>
        <v>72.402601328838486</v>
      </c>
      <c r="Q34" s="3">
        <f t="shared" ca="1" si="111"/>
        <v>74.738257912571171</v>
      </c>
      <c r="R34" s="3">
        <f t="shared" ca="1" si="111"/>
        <v>77.150063527812151</v>
      </c>
      <c r="S34" s="3">
        <f t="shared" ca="1" si="111"/>
        <v>79.639057958001374</v>
      </c>
      <c r="T34" s="3">
        <f t="shared" ca="1" si="111"/>
        <v>82.20611684004102</v>
      </c>
      <c r="U34" s="3">
        <f t="shared" ca="1" si="111"/>
        <v>84.85192446702321</v>
      </c>
      <c r="V34" s="3">
        <f t="shared" ca="1" si="111"/>
        <v>87.576943443238804</v>
      </c>
      <c r="W34" s="3">
        <f t="shared" ca="1" si="111"/>
        <v>90.381380860087802</v>
      </c>
      <c r="X34" s="3">
        <f t="shared" ca="1" si="111"/>
        <v>93.265150627763617</v>
      </c>
      <c r="Y34" s="3">
        <f t="shared" ref="Y34:AC34" ca="1" si="112">Y25+Y28</f>
        <v>96.227831560442041</v>
      </c>
      <c r="Z34" s="3">
        <f t="shared" ca="1" si="112"/>
        <v>99.268620771832275</v>
      </c>
      <c r="AA34" s="3">
        <f t="shared" ca="1" si="112"/>
        <v>102.38628189296487</v>
      </c>
      <c r="AB34" s="3">
        <f t="shared" ca="1" si="112"/>
        <v>105.57908757459376</v>
      </c>
      <c r="AC34" s="3">
        <f t="shared" ca="1" si="112"/>
        <v>108.84475568212147</v>
      </c>
    </row>
    <row r="35" spans="2:29" x14ac:dyDescent="0.2">
      <c r="C35" t="s">
        <v>28</v>
      </c>
      <c r="E35" s="8">
        <f>D8</f>
        <v>1.25</v>
      </c>
      <c r="F35" s="8">
        <f>E35</f>
        <v>1.25</v>
      </c>
      <c r="G35" s="8">
        <f t="shared" ref="G35:N35" si="113">F35</f>
        <v>1.25</v>
      </c>
      <c r="H35" s="8">
        <f t="shared" si="113"/>
        <v>1.25</v>
      </c>
      <c r="I35" s="8">
        <f t="shared" si="113"/>
        <v>1.25</v>
      </c>
      <c r="J35" s="8">
        <f t="shared" si="113"/>
        <v>1.25</v>
      </c>
      <c r="K35" s="8">
        <f t="shared" si="113"/>
        <v>1.25</v>
      </c>
      <c r="L35" s="8">
        <f t="shared" si="113"/>
        <v>1.25</v>
      </c>
      <c r="M35" s="8">
        <f t="shared" si="113"/>
        <v>1.25</v>
      </c>
      <c r="N35" s="8">
        <f t="shared" si="113"/>
        <v>1.25</v>
      </c>
      <c r="O35" s="8">
        <f t="shared" ref="O35:X35" si="114">N35</f>
        <v>1.25</v>
      </c>
      <c r="P35" s="8">
        <f t="shared" si="114"/>
        <v>1.25</v>
      </c>
      <c r="Q35" s="8">
        <f t="shared" si="114"/>
        <v>1.25</v>
      </c>
      <c r="R35" s="8">
        <f t="shared" si="114"/>
        <v>1.25</v>
      </c>
      <c r="S35" s="8">
        <f t="shared" si="114"/>
        <v>1.25</v>
      </c>
      <c r="T35" s="8">
        <f t="shared" si="114"/>
        <v>1.25</v>
      </c>
      <c r="U35" s="8">
        <f t="shared" si="114"/>
        <v>1.25</v>
      </c>
      <c r="V35" s="8">
        <f t="shared" si="114"/>
        <v>1.25</v>
      </c>
      <c r="W35" s="8">
        <f t="shared" si="114"/>
        <v>1.25</v>
      </c>
      <c r="X35" s="8">
        <f t="shared" si="114"/>
        <v>1.25</v>
      </c>
      <c r="Y35" s="8">
        <f t="shared" ref="Y35" si="115">X35</f>
        <v>1.25</v>
      </c>
      <c r="Z35" s="8">
        <f t="shared" ref="Z35" si="116">Y35</f>
        <v>1.25</v>
      </c>
      <c r="AA35" s="8">
        <f t="shared" ref="AA35" si="117">Z35</f>
        <v>1.25</v>
      </c>
      <c r="AB35" s="8">
        <f t="shared" ref="AB35" si="118">AA35</f>
        <v>1.25</v>
      </c>
      <c r="AC35" s="8">
        <f t="shared" ref="AC35" si="119">AB35</f>
        <v>1.25</v>
      </c>
    </row>
    <row r="36" spans="2:29" x14ac:dyDescent="0.2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2:29" x14ac:dyDescent="0.2">
      <c r="C37" t="s">
        <v>49</v>
      </c>
      <c r="E37" s="13">
        <f>MIN(E14/MAX($E14:$AC14),1)</f>
        <v>0</v>
      </c>
      <c r="F37" s="13">
        <f t="shared" ref="F37:AC37" si="120">MIN(F14/MAX($E14:$AC14),1)</f>
        <v>0</v>
      </c>
      <c r="G37" s="13">
        <f t="shared" si="120"/>
        <v>0</v>
      </c>
      <c r="H37" s="13">
        <f t="shared" si="120"/>
        <v>4.5454545454545456E-2</v>
      </c>
      <c r="I37" s="13">
        <f t="shared" si="120"/>
        <v>9.0909090909090912E-2</v>
      </c>
      <c r="J37" s="13">
        <f t="shared" si="120"/>
        <v>0.13636363636363635</v>
      </c>
      <c r="K37" s="13">
        <f t="shared" si="120"/>
        <v>0.18181818181818182</v>
      </c>
      <c r="L37" s="13">
        <f t="shared" si="120"/>
        <v>0.22727272727272727</v>
      </c>
      <c r="M37" s="13">
        <f t="shared" si="120"/>
        <v>0.27272727272727271</v>
      </c>
      <c r="N37" s="13">
        <f t="shared" si="120"/>
        <v>0.31818181818181818</v>
      </c>
      <c r="O37" s="13">
        <f t="shared" si="120"/>
        <v>0.36363636363636365</v>
      </c>
      <c r="P37" s="13">
        <f t="shared" si="120"/>
        <v>0.40909090909090912</v>
      </c>
      <c r="Q37" s="13">
        <f t="shared" si="120"/>
        <v>0.45454545454545453</v>
      </c>
      <c r="R37" s="13">
        <f t="shared" si="120"/>
        <v>0.5</v>
      </c>
      <c r="S37" s="13">
        <f t="shared" si="120"/>
        <v>0.54545454545454541</v>
      </c>
      <c r="T37" s="13">
        <f t="shared" si="120"/>
        <v>0.59090909090909094</v>
      </c>
      <c r="U37" s="13">
        <f t="shared" si="120"/>
        <v>0.63636363636363635</v>
      </c>
      <c r="V37" s="13">
        <f t="shared" si="120"/>
        <v>0.68181818181818177</v>
      </c>
      <c r="W37" s="13">
        <f t="shared" si="120"/>
        <v>0.72727272727272729</v>
      </c>
      <c r="X37" s="13">
        <f t="shared" si="120"/>
        <v>0.77272727272727271</v>
      </c>
      <c r="Y37" s="13">
        <f t="shared" si="120"/>
        <v>0.81818181818181823</v>
      </c>
      <c r="Z37" s="13">
        <f t="shared" si="120"/>
        <v>0.86363636363636365</v>
      </c>
      <c r="AA37" s="13">
        <f t="shared" si="120"/>
        <v>0.90909090909090906</v>
      </c>
      <c r="AB37" s="13">
        <f t="shared" si="120"/>
        <v>0.95454545454545459</v>
      </c>
      <c r="AC37" s="13">
        <f t="shared" si="120"/>
        <v>1</v>
      </c>
    </row>
    <row r="38" spans="2:29" outlineLevel="1" x14ac:dyDescent="0.2">
      <c r="C38" t="s">
        <v>25</v>
      </c>
      <c r="E38" s="13">
        <f>MIN(E13/$G$6,1)</f>
        <v>0.04</v>
      </c>
      <c r="F38" s="13">
        <f>MIN(F13/$G$6,1)</f>
        <v>0.08</v>
      </c>
      <c r="G38" s="13">
        <f>MIN(G13/$G$6,1)</f>
        <v>0.12</v>
      </c>
      <c r="H38" s="13">
        <f>MIN(H13/$G$6,1)</f>
        <v>0.16</v>
      </c>
      <c r="I38" s="13">
        <f>MIN(I13/$G$6,1)</f>
        <v>0.2</v>
      </c>
      <c r="J38" s="13">
        <f>MIN(J13/$G$6,1)</f>
        <v>0.24</v>
      </c>
      <c r="K38" s="13">
        <f>MIN(K13/$G$6,1)</f>
        <v>0.28000000000000003</v>
      </c>
      <c r="L38" s="13">
        <f>MIN(L13/$G$6,1)</f>
        <v>0.32</v>
      </c>
      <c r="M38" s="13">
        <f>MIN(M13/$G$6,1)</f>
        <v>0.36</v>
      </c>
      <c r="N38" s="13">
        <f>MIN(N13/$G$6,1)</f>
        <v>0.4</v>
      </c>
      <c r="O38" s="13">
        <f>MIN(O13/$G$6,1)</f>
        <v>0.44</v>
      </c>
      <c r="P38" s="13">
        <f>MIN(P13/$G$6,1)</f>
        <v>0.48</v>
      </c>
      <c r="Q38" s="13">
        <f>MIN(Q13/$G$6,1)</f>
        <v>0.52</v>
      </c>
      <c r="R38" s="13">
        <f>MIN(R13/$G$6,1)</f>
        <v>0.56000000000000005</v>
      </c>
      <c r="S38" s="13">
        <f>MIN(S13/$G$6,1)</f>
        <v>0.6</v>
      </c>
      <c r="T38" s="13">
        <f>MIN(T13/$G$6,1)</f>
        <v>0.64</v>
      </c>
      <c r="U38" s="13">
        <f>MIN(U13/$G$6,1)</f>
        <v>0.68</v>
      </c>
      <c r="V38" s="13">
        <f>MIN(V13/$G$6,1)</f>
        <v>0.72</v>
      </c>
      <c r="W38" s="13">
        <f>MIN(W13/$G$6,1)</f>
        <v>0.76</v>
      </c>
      <c r="X38" s="13">
        <f>MIN(X13/$G$6,1)</f>
        <v>0.8</v>
      </c>
      <c r="Y38" s="13">
        <f t="shared" ref="Y38:AC38" si="121">MIN(Y13/$G$6,1)</f>
        <v>0.84</v>
      </c>
      <c r="Z38" s="13">
        <f t="shared" si="121"/>
        <v>0.88</v>
      </c>
      <c r="AA38" s="13">
        <f t="shared" si="121"/>
        <v>0.92</v>
      </c>
      <c r="AB38" s="13">
        <f t="shared" si="121"/>
        <v>0.96</v>
      </c>
      <c r="AC38" s="13">
        <f t="shared" si="121"/>
        <v>1</v>
      </c>
    </row>
    <row r="39" spans="2:29" outlineLevel="1" x14ac:dyDescent="0.2">
      <c r="C39" s="17" t="s">
        <v>38</v>
      </c>
      <c r="E39" s="8">
        <f>$G$3*E38</f>
        <v>3.6000000000000004E-2</v>
      </c>
      <c r="F39" s="8">
        <f>$G$3*F38</f>
        <v>7.2000000000000008E-2</v>
      </c>
      <c r="G39" s="8">
        <f>$G$3*G38</f>
        <v>0.108</v>
      </c>
      <c r="H39" s="8">
        <f>$G$3*H38</f>
        <v>0.14400000000000002</v>
      </c>
      <c r="I39" s="8">
        <f>$G$3*I38</f>
        <v>0.18000000000000002</v>
      </c>
      <c r="J39" s="8">
        <f>$G$3*J38</f>
        <v>0.216</v>
      </c>
      <c r="K39" s="8">
        <f>$G$3*K38</f>
        <v>0.25200000000000006</v>
      </c>
      <c r="L39" s="8">
        <f>$G$3*L38</f>
        <v>0.28800000000000003</v>
      </c>
      <c r="M39" s="8">
        <f>$G$3*M38</f>
        <v>0.32400000000000001</v>
      </c>
      <c r="N39" s="8">
        <f>$G$3*N38</f>
        <v>0.36000000000000004</v>
      </c>
      <c r="O39" s="8">
        <f>$G$3*O38</f>
        <v>0.39600000000000002</v>
      </c>
      <c r="P39" s="8">
        <f>$G$3*P38</f>
        <v>0.432</v>
      </c>
      <c r="Q39" s="8">
        <f>$G$3*Q38</f>
        <v>0.46800000000000003</v>
      </c>
      <c r="R39" s="8">
        <f>$G$3*R38</f>
        <v>0.50400000000000011</v>
      </c>
      <c r="S39" s="8">
        <f>$G$3*S38</f>
        <v>0.54</v>
      </c>
      <c r="T39" s="8">
        <f>$G$3*T38</f>
        <v>0.57600000000000007</v>
      </c>
      <c r="U39" s="8">
        <f>$G$3*U38</f>
        <v>0.6120000000000001</v>
      </c>
      <c r="V39" s="8">
        <f>$G$3*V38</f>
        <v>0.64800000000000002</v>
      </c>
      <c r="W39" s="8">
        <f>$G$3*W38</f>
        <v>0.68400000000000005</v>
      </c>
      <c r="X39" s="8">
        <f>$G$3*X38</f>
        <v>0.72000000000000008</v>
      </c>
      <c r="Y39" s="8">
        <f t="shared" ref="Y39:AC39" si="122">$G$3*Y38</f>
        <v>0.75600000000000001</v>
      </c>
      <c r="Z39" s="8">
        <f t="shared" si="122"/>
        <v>0.79200000000000004</v>
      </c>
      <c r="AA39" s="8">
        <f t="shared" si="122"/>
        <v>0.82800000000000007</v>
      </c>
      <c r="AB39" s="8">
        <f t="shared" si="122"/>
        <v>0.86399999999999999</v>
      </c>
      <c r="AC39" s="8">
        <f t="shared" si="122"/>
        <v>0.9</v>
      </c>
    </row>
    <row r="40" spans="2:29" outlineLevel="1" x14ac:dyDescent="0.2">
      <c r="C40" s="17" t="s">
        <v>39</v>
      </c>
      <c r="E40" s="8">
        <f>$G$3*E37</f>
        <v>0</v>
      </c>
      <c r="F40" s="8">
        <f t="shared" ref="F40:AC40" si="123">$G$3*F37</f>
        <v>0</v>
      </c>
      <c r="G40" s="8">
        <f t="shared" si="123"/>
        <v>0</v>
      </c>
      <c r="H40" s="8">
        <f t="shared" si="123"/>
        <v>4.0909090909090909E-2</v>
      </c>
      <c r="I40" s="8">
        <f t="shared" si="123"/>
        <v>8.1818181818181818E-2</v>
      </c>
      <c r="J40" s="8">
        <f t="shared" si="123"/>
        <v>0.12272727272727273</v>
      </c>
      <c r="K40" s="8">
        <f t="shared" si="123"/>
        <v>0.16363636363636364</v>
      </c>
      <c r="L40" s="8">
        <f t="shared" si="123"/>
        <v>0.20454545454545453</v>
      </c>
      <c r="M40" s="8">
        <f t="shared" si="123"/>
        <v>0.24545454545454545</v>
      </c>
      <c r="N40" s="8">
        <f t="shared" si="123"/>
        <v>0.28636363636363638</v>
      </c>
      <c r="O40" s="8">
        <f t="shared" si="123"/>
        <v>0.32727272727272727</v>
      </c>
      <c r="P40" s="8">
        <f t="shared" si="123"/>
        <v>0.36818181818181822</v>
      </c>
      <c r="Q40" s="8">
        <f t="shared" si="123"/>
        <v>0.40909090909090906</v>
      </c>
      <c r="R40" s="8">
        <f t="shared" si="123"/>
        <v>0.45</v>
      </c>
      <c r="S40" s="8">
        <f t="shared" si="123"/>
        <v>0.49090909090909091</v>
      </c>
      <c r="T40" s="8">
        <f t="shared" si="123"/>
        <v>0.53181818181818186</v>
      </c>
      <c r="U40" s="8">
        <f t="shared" si="123"/>
        <v>0.57272727272727275</v>
      </c>
      <c r="V40" s="8">
        <f t="shared" si="123"/>
        <v>0.61363636363636365</v>
      </c>
      <c r="W40" s="8">
        <f t="shared" si="123"/>
        <v>0.65454545454545454</v>
      </c>
      <c r="X40" s="8">
        <f t="shared" si="123"/>
        <v>0.69545454545454544</v>
      </c>
      <c r="Y40" s="8">
        <f t="shared" si="123"/>
        <v>0.73636363636363644</v>
      </c>
      <c r="Z40" s="8">
        <f t="shared" si="123"/>
        <v>0.77727272727272734</v>
      </c>
      <c r="AA40" s="8">
        <f t="shared" si="123"/>
        <v>0.81818181818181812</v>
      </c>
      <c r="AB40" s="8">
        <f t="shared" si="123"/>
        <v>0.85909090909090913</v>
      </c>
      <c r="AC40" s="8">
        <f t="shared" si="123"/>
        <v>0.9</v>
      </c>
    </row>
    <row r="41" spans="2:29" outlineLevel="1" x14ac:dyDescent="0.2">
      <c r="C41" t="s">
        <v>30</v>
      </c>
      <c r="D41" s="3">
        <f>G4</f>
        <v>2</v>
      </c>
      <c r="E41" s="20">
        <f>CHOOSE($D$41,E39,E40)</f>
        <v>0</v>
      </c>
      <c r="F41" s="20">
        <f t="shared" ref="F41:N41" si="124">CHOOSE($D$41,F39,F40)</f>
        <v>0</v>
      </c>
      <c r="G41" s="20">
        <f t="shared" si="124"/>
        <v>0</v>
      </c>
      <c r="H41" s="20">
        <f t="shared" si="124"/>
        <v>4.0909090909090909E-2</v>
      </c>
      <c r="I41" s="20">
        <f t="shared" si="124"/>
        <v>8.1818181818181818E-2</v>
      </c>
      <c r="J41" s="20">
        <f t="shared" si="124"/>
        <v>0.12272727272727273</v>
      </c>
      <c r="K41" s="20">
        <f t="shared" si="124"/>
        <v>0.16363636363636364</v>
      </c>
      <c r="L41" s="20">
        <f t="shared" si="124"/>
        <v>0.20454545454545453</v>
      </c>
      <c r="M41" s="20">
        <f t="shared" si="124"/>
        <v>0.24545454545454545</v>
      </c>
      <c r="N41" s="20">
        <f t="shared" si="124"/>
        <v>0.28636363636363638</v>
      </c>
      <c r="O41" s="20">
        <f t="shared" ref="O41" si="125">CHOOSE($D$41,O39,O40)</f>
        <v>0.32727272727272727</v>
      </c>
      <c r="P41" s="20">
        <f t="shared" ref="P41" si="126">CHOOSE($D$41,P39,P40)</f>
        <v>0.36818181818181822</v>
      </c>
      <c r="Q41" s="20">
        <f t="shared" ref="Q41" si="127">CHOOSE($D$41,Q39,Q40)</f>
        <v>0.40909090909090906</v>
      </c>
      <c r="R41" s="20">
        <f t="shared" ref="R41" si="128">CHOOSE($D$41,R39,R40)</f>
        <v>0.45</v>
      </c>
      <c r="S41" s="20">
        <f t="shared" ref="S41" si="129">CHOOSE($D$41,S39,S40)</f>
        <v>0.49090909090909091</v>
      </c>
      <c r="T41" s="20">
        <f t="shared" ref="T41" si="130">CHOOSE($D$41,T39,T40)</f>
        <v>0.53181818181818186</v>
      </c>
      <c r="U41" s="20">
        <f t="shared" ref="U41" si="131">CHOOSE($D$41,U39,U40)</f>
        <v>0.57272727272727275</v>
      </c>
      <c r="V41" s="20">
        <f t="shared" ref="V41" si="132">CHOOSE($D$41,V39,V40)</f>
        <v>0.61363636363636365</v>
      </c>
      <c r="W41" s="20">
        <f t="shared" ref="W41" si="133">CHOOSE($D$41,W39,W40)</f>
        <v>0.65454545454545454</v>
      </c>
      <c r="X41" s="20">
        <f t="shared" ref="X41:AC41" si="134">CHOOSE($D$41,X39,X40)</f>
        <v>0.69545454545454544</v>
      </c>
      <c r="Y41" s="20">
        <f t="shared" si="134"/>
        <v>0.73636363636363644</v>
      </c>
      <c r="Z41" s="20">
        <f t="shared" si="134"/>
        <v>0.77727272727272734</v>
      </c>
      <c r="AA41" s="20">
        <f t="shared" si="134"/>
        <v>0.81818181818181812</v>
      </c>
      <c r="AB41" s="20">
        <f t="shared" si="134"/>
        <v>0.85909090909090913</v>
      </c>
      <c r="AC41" s="20">
        <f t="shared" si="134"/>
        <v>0.9</v>
      </c>
    </row>
    <row r="42" spans="2:29" x14ac:dyDescent="0.2">
      <c r="C42" t="s">
        <v>27</v>
      </c>
      <c r="E42" s="8">
        <f>E35+E41</f>
        <v>1.25</v>
      </c>
      <c r="F42" s="8">
        <f t="shared" ref="F42:N42" si="135">F35+F41</f>
        <v>1.25</v>
      </c>
      <c r="G42" s="8">
        <f t="shared" si="135"/>
        <v>1.25</v>
      </c>
      <c r="H42" s="8">
        <f t="shared" si="135"/>
        <v>1.290909090909091</v>
      </c>
      <c r="I42" s="8">
        <f t="shared" si="135"/>
        <v>1.3318181818181818</v>
      </c>
      <c r="J42" s="8">
        <f t="shared" si="135"/>
        <v>1.3727272727272728</v>
      </c>
      <c r="K42" s="8">
        <f t="shared" si="135"/>
        <v>1.4136363636363636</v>
      </c>
      <c r="L42" s="8">
        <f t="shared" si="135"/>
        <v>1.4545454545454546</v>
      </c>
      <c r="M42" s="8">
        <f t="shared" si="135"/>
        <v>1.4954545454545454</v>
      </c>
      <c r="N42" s="8">
        <f t="shared" si="135"/>
        <v>1.5363636363636364</v>
      </c>
      <c r="O42" s="8">
        <f t="shared" ref="O42" si="136">O35+O41</f>
        <v>1.5772727272727272</v>
      </c>
      <c r="P42" s="8">
        <f t="shared" ref="P42" si="137">P35+P41</f>
        <v>1.6181818181818182</v>
      </c>
      <c r="Q42" s="8">
        <f t="shared" ref="Q42" si="138">Q35+Q41</f>
        <v>1.6590909090909092</v>
      </c>
      <c r="R42" s="8">
        <f t="shared" ref="R42" si="139">R35+R41</f>
        <v>1.7</v>
      </c>
      <c r="S42" s="8">
        <f t="shared" ref="S42" si="140">S35+S41</f>
        <v>1.740909090909091</v>
      </c>
      <c r="T42" s="8">
        <f t="shared" ref="T42" si="141">T35+T41</f>
        <v>1.7818181818181817</v>
      </c>
      <c r="U42" s="8">
        <f t="shared" ref="U42" si="142">U35+U41</f>
        <v>1.8227272727272728</v>
      </c>
      <c r="V42" s="8">
        <f t="shared" ref="V42" si="143">V35+V41</f>
        <v>1.8636363636363638</v>
      </c>
      <c r="W42" s="8">
        <f t="shared" ref="W42" si="144">W35+W41</f>
        <v>1.9045454545454545</v>
      </c>
      <c r="X42" s="8">
        <f t="shared" ref="X42:AC42" si="145">X35+X41</f>
        <v>1.9454545454545453</v>
      </c>
      <c r="Y42" s="8">
        <f t="shared" si="145"/>
        <v>1.9863636363636363</v>
      </c>
      <c r="Z42" s="8">
        <f t="shared" si="145"/>
        <v>2.0272727272727273</v>
      </c>
      <c r="AA42" s="8">
        <f t="shared" si="145"/>
        <v>2.0681818181818183</v>
      </c>
      <c r="AB42" s="8">
        <f t="shared" si="145"/>
        <v>2.1090909090909093</v>
      </c>
      <c r="AC42" s="8">
        <f t="shared" si="145"/>
        <v>2.15</v>
      </c>
    </row>
    <row r="43" spans="2:29" x14ac:dyDescent="0.2"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</row>
    <row r="44" spans="2:29" x14ac:dyDescent="0.2">
      <c r="C44" s="12" t="s">
        <v>24</v>
      </c>
    </row>
    <row r="45" spans="2:29" hidden="1" outlineLevel="1" x14ac:dyDescent="0.2">
      <c r="C45" s="3">
        <v>1</v>
      </c>
      <c r="D45" s="14">
        <f>SUM(E45:AC45)</f>
        <v>1.0000000000000002</v>
      </c>
      <c r="E45" s="13">
        <f>1/$G$6*E12</f>
        <v>0.04</v>
      </c>
      <c r="F45" s="13">
        <f>1/$G$6*F12</f>
        <v>0.04</v>
      </c>
      <c r="G45" s="13">
        <f>1/$G$6*G12</f>
        <v>0.04</v>
      </c>
      <c r="H45" s="13">
        <f>1/$G$6*H12</f>
        <v>0.04</v>
      </c>
      <c r="I45" s="13">
        <f>1/$G$6*I12</f>
        <v>0.04</v>
      </c>
      <c r="J45" s="13">
        <f>1/$G$6*J12</f>
        <v>0.04</v>
      </c>
      <c r="K45" s="13">
        <f>1/$G$6*K12</f>
        <v>0.04</v>
      </c>
      <c r="L45" s="13">
        <f>1/$G$6*L12</f>
        <v>0.04</v>
      </c>
      <c r="M45" s="13">
        <f>1/$G$6*M12</f>
        <v>0.04</v>
      </c>
      <c r="N45" s="13">
        <f>1/$G$6*N12</f>
        <v>0.04</v>
      </c>
      <c r="O45" s="13">
        <f>1/$G$6*O12</f>
        <v>0.04</v>
      </c>
      <c r="P45" s="13">
        <f>1/$G$6*P12</f>
        <v>0.04</v>
      </c>
      <c r="Q45" s="13">
        <f>1/$G$6*Q12</f>
        <v>0.04</v>
      </c>
      <c r="R45" s="13">
        <f>1/$G$6*R12</f>
        <v>0.04</v>
      </c>
      <c r="S45" s="13">
        <f>1/$G$6*S12</f>
        <v>0.04</v>
      </c>
      <c r="T45" s="13">
        <f>1/$G$6*T12</f>
        <v>0.04</v>
      </c>
      <c r="U45" s="13">
        <f>1/$G$6*U12</f>
        <v>0.04</v>
      </c>
      <c r="V45" s="13">
        <f>1/$G$6*V12</f>
        <v>0.04</v>
      </c>
      <c r="W45" s="13">
        <f>1/$G$6*W12</f>
        <v>0.04</v>
      </c>
      <c r="X45" s="13">
        <f>1/$G$6*X12</f>
        <v>0.04</v>
      </c>
      <c r="Y45" s="13">
        <f t="shared" ref="Y45:AC45" si="146">1/$G$6*Y12</f>
        <v>0.04</v>
      </c>
      <c r="Z45" s="13">
        <f t="shared" si="146"/>
        <v>0.04</v>
      </c>
      <c r="AA45" s="13">
        <f t="shared" si="146"/>
        <v>0.04</v>
      </c>
      <c r="AB45" s="13">
        <f t="shared" si="146"/>
        <v>0.04</v>
      </c>
      <c r="AC45" s="13">
        <f t="shared" si="146"/>
        <v>0.04</v>
      </c>
    </row>
    <row r="46" spans="2:29" hidden="1" outlineLevel="1" x14ac:dyDescent="0.2">
      <c r="B46" s="23">
        <v>9.0685582713136842E-2</v>
      </c>
      <c r="C46" s="3">
        <v>2</v>
      </c>
      <c r="D46" s="14">
        <f>SUM(E46:AC46)</f>
        <v>1.0003078799822049</v>
      </c>
      <c r="E46" s="13">
        <f t="shared" ref="E46:AB46" si="147">F46*(1-$B$46)</f>
        <v>1.0212635843803546E-2</v>
      </c>
      <c r="F46" s="13">
        <f t="shared" si="147"/>
        <v>1.1231138151614445E-2</v>
      </c>
      <c r="G46" s="13">
        <f t="shared" si="147"/>
        <v>1.2351215309139145E-2</v>
      </c>
      <c r="H46" s="13">
        <f t="shared" si="147"/>
        <v>1.3582997337699403E-2</v>
      </c>
      <c r="I46" s="13">
        <f t="shared" si="147"/>
        <v>1.4937624521809764E-2</v>
      </c>
      <c r="J46" s="13">
        <f t="shared" si="147"/>
        <v>1.6427348162343459E-2</v>
      </c>
      <c r="K46" s="13">
        <f t="shared" si="147"/>
        <v>1.8065641377773396E-2</v>
      </c>
      <c r="L46" s="13">
        <f t="shared" si="147"/>
        <v>1.9867320955578992E-2</v>
      </c>
      <c r="M46" s="13">
        <f t="shared" si="147"/>
        <v>2.184868135584769E-2</v>
      </c>
      <c r="N46" s="13">
        <f t="shared" si="147"/>
        <v>2.402764207900494E-2</v>
      </c>
      <c r="O46" s="13">
        <f t="shared" si="147"/>
        <v>2.6423909730472133E-2</v>
      </c>
      <c r="P46" s="13">
        <f t="shared" si="147"/>
        <v>2.9059156247971524E-2</v>
      </c>
      <c r="Q46" s="13">
        <f t="shared" si="147"/>
        <v>3.1957214903372833E-2</v>
      </c>
      <c r="R46" s="13">
        <f t="shared" si="147"/>
        <v>3.5144295851729832E-2</v>
      </c>
      <c r="S46" s="13">
        <f t="shared" si="147"/>
        <v>3.8649223176940785E-2</v>
      </c>
      <c r="T46" s="13">
        <f t="shared" si="147"/>
        <v>4.2503695577882875E-2</v>
      </c>
      <c r="U46" s="13">
        <f t="shared" si="147"/>
        <v>4.6742573052676185E-2</v>
      </c>
      <c r="V46" s="13">
        <f t="shared" si="147"/>
        <v>5.1404192173860823E-2</v>
      </c>
      <c r="W46" s="13">
        <f t="shared" si="147"/>
        <v>5.6530712805848149E-2</v>
      </c>
      <c r="X46" s="13">
        <f t="shared" si="147"/>
        <v>6.2168499400372203E-2</v>
      </c>
      <c r="Y46" s="13">
        <f t="shared" si="147"/>
        <v>6.8368540318392193E-2</v>
      </c>
      <c r="Z46" s="13">
        <f t="shared" si="147"/>
        <v>7.5186908970809638E-2</v>
      </c>
      <c r="AA46" s="13">
        <f t="shared" si="147"/>
        <v>8.2685270948574752E-2</v>
      </c>
      <c r="AB46" s="13">
        <f>AC46*(1-$B$46)</f>
        <v>9.0931441728686321E-2</v>
      </c>
      <c r="AC46" s="22">
        <v>0.1</v>
      </c>
    </row>
    <row r="47" spans="2:29" hidden="1" outlineLevel="1" x14ac:dyDescent="0.2">
      <c r="C47" s="3">
        <v>3</v>
      </c>
      <c r="D47" s="14">
        <f t="shared" ref="D46:D47" si="148">SUM(E47:X47)</f>
        <v>0</v>
      </c>
      <c r="E47" s="13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2:29" hidden="1" outlineLevel="1" x14ac:dyDescent="0.2">
      <c r="C48" s="12" t="s">
        <v>21</v>
      </c>
      <c r="D48" s="18">
        <f ca="1">OFFSET(C44,$D$9,0)</f>
        <v>2</v>
      </c>
      <c r="E48" s="19">
        <f ca="1">OFFSET(E44,$D$9,0)</f>
        <v>1.0212635843803546E-2</v>
      </c>
      <c r="F48" s="19">
        <f ca="1">OFFSET(F44,$D$9,0)</f>
        <v>1.1231138151614445E-2</v>
      </c>
      <c r="G48" s="19">
        <f ca="1">OFFSET(G44,$D$9,0)</f>
        <v>1.2351215309139145E-2</v>
      </c>
      <c r="H48" s="19">
        <f ca="1">OFFSET(H44,$D$9,0)</f>
        <v>1.3582997337699403E-2</v>
      </c>
      <c r="I48" s="19">
        <f ca="1">OFFSET(I44,$D$9,0)</f>
        <v>1.4937624521809764E-2</v>
      </c>
      <c r="J48" s="19">
        <f ca="1">OFFSET(J44,$D$9,0)</f>
        <v>1.6427348162343459E-2</v>
      </c>
      <c r="K48" s="19">
        <f ca="1">OFFSET(K44,$D$9,0)</f>
        <v>1.8065641377773396E-2</v>
      </c>
      <c r="L48" s="19">
        <f ca="1">OFFSET(L44,$D$9,0)</f>
        <v>1.9867320955578992E-2</v>
      </c>
      <c r="M48" s="19">
        <f ca="1">OFFSET(M44,$D$9,0)</f>
        <v>2.184868135584769E-2</v>
      </c>
      <c r="N48" s="19">
        <f ca="1">OFFSET(N44,$D$9,0)</f>
        <v>2.402764207900494E-2</v>
      </c>
      <c r="O48" s="19">
        <f ca="1">OFFSET(O44,$D$9,0)</f>
        <v>2.6423909730472133E-2</v>
      </c>
      <c r="P48" s="19">
        <f ca="1">OFFSET(P44,$D$9,0)</f>
        <v>2.9059156247971524E-2</v>
      </c>
      <c r="Q48" s="19">
        <f ca="1">OFFSET(Q44,$D$9,0)</f>
        <v>3.1957214903372833E-2</v>
      </c>
      <c r="R48" s="19">
        <f ca="1">OFFSET(R44,$D$9,0)</f>
        <v>3.5144295851729832E-2</v>
      </c>
      <c r="S48" s="19">
        <f ca="1">OFFSET(S44,$D$9,0)</f>
        <v>3.8649223176940785E-2</v>
      </c>
      <c r="T48" s="19">
        <f ca="1">OFFSET(T44,$D$9,0)</f>
        <v>4.2503695577882875E-2</v>
      </c>
      <c r="U48" s="19">
        <f ca="1">OFFSET(U44,$D$9,0)</f>
        <v>4.6742573052676185E-2</v>
      </c>
      <c r="V48" s="19">
        <f ca="1">OFFSET(V44,$D$9,0)</f>
        <v>5.1404192173860823E-2</v>
      </c>
      <c r="W48" s="19">
        <f ca="1">OFFSET(W44,$D$9,0)</f>
        <v>5.6530712805848149E-2</v>
      </c>
      <c r="X48" s="19">
        <f ca="1">OFFSET(X44,$D$9,0)</f>
        <v>6.2168499400372203E-2</v>
      </c>
      <c r="Y48" s="19">
        <f t="shared" ref="Y48:AC48" ca="1" si="149">OFFSET(Y44,$D$9,0)</f>
        <v>6.8368540318392193E-2</v>
      </c>
      <c r="Z48" s="19">
        <f t="shared" ca="1" si="149"/>
        <v>7.5186908970809638E-2</v>
      </c>
      <c r="AA48" s="19">
        <f t="shared" ca="1" si="149"/>
        <v>8.2685270948574752E-2</v>
      </c>
      <c r="AB48" s="19">
        <f t="shared" ca="1" si="149"/>
        <v>9.0931441728686321E-2</v>
      </c>
      <c r="AC48" s="19">
        <f t="shared" ca="1" si="149"/>
        <v>0.1</v>
      </c>
    </row>
    <row r="49" spans="2:29" collapsed="1" x14ac:dyDescent="0.2"/>
    <row r="50" spans="2:29" x14ac:dyDescent="0.2">
      <c r="C50" s="12" t="s">
        <v>9</v>
      </c>
    </row>
    <row r="51" spans="2:29" hidden="1" outlineLevel="1" x14ac:dyDescent="0.2">
      <c r="C51" t="s">
        <v>13</v>
      </c>
      <c r="E51" s="3">
        <f>MAX(D53,0)</f>
        <v>800</v>
      </c>
      <c r="F51" s="3">
        <f t="shared" ref="F51:X51" ca="1" si="150">MAX(E53,0)</f>
        <v>791.8298913249572</v>
      </c>
      <c r="G51" s="3">
        <f t="shared" ca="1" si="150"/>
        <v>782.84498080366563</v>
      </c>
      <c r="H51" s="3">
        <f t="shared" ca="1" si="150"/>
        <v>772.96400855635432</v>
      </c>
      <c r="I51" s="3">
        <f t="shared" ca="1" si="150"/>
        <v>762.0976106861948</v>
      </c>
      <c r="J51" s="3">
        <f t="shared" ca="1" si="150"/>
        <v>750.14751106874701</v>
      </c>
      <c r="K51" s="3">
        <f t="shared" ca="1" si="150"/>
        <v>737.00563253887219</v>
      </c>
      <c r="L51" s="3">
        <f t="shared" ca="1" si="150"/>
        <v>722.55311943665345</v>
      </c>
      <c r="M51" s="3">
        <f t="shared" ca="1" si="150"/>
        <v>706.65926267219027</v>
      </c>
      <c r="N51" s="3">
        <f t="shared" ca="1" si="150"/>
        <v>689.18031758751215</v>
      </c>
      <c r="O51" s="3">
        <f t="shared" ca="1" si="150"/>
        <v>669.95820392430824</v>
      </c>
      <c r="P51" s="3">
        <f t="shared" ca="1" si="150"/>
        <v>648.81907613993053</v>
      </c>
      <c r="Q51" s="3">
        <f t="shared" ca="1" si="150"/>
        <v>625.57175114155336</v>
      </c>
      <c r="R51" s="3">
        <f t="shared" ca="1" si="150"/>
        <v>600.00597921885515</v>
      </c>
      <c r="S51" s="3">
        <f t="shared" ca="1" si="150"/>
        <v>571.89054253747133</v>
      </c>
      <c r="T51" s="3">
        <f t="shared" ca="1" si="150"/>
        <v>540.97116399591869</v>
      </c>
      <c r="U51" s="3">
        <f t="shared" ca="1" si="150"/>
        <v>506.96820753361237</v>
      </c>
      <c r="V51" s="3">
        <f t="shared" ca="1" si="150"/>
        <v>469.57414909147144</v>
      </c>
      <c r="W51" s="3">
        <f t="shared" ca="1" si="150"/>
        <v>428.45079535238278</v>
      </c>
      <c r="X51" s="3">
        <f t="shared" ca="1" si="150"/>
        <v>383.22622510770429</v>
      </c>
      <c r="Y51" s="3">
        <f t="shared" ref="Y51" ca="1" si="151">MAX(X53,0)</f>
        <v>333.49142558740652</v>
      </c>
      <c r="Z51" s="3">
        <f t="shared" ref="Z51" ca="1" si="152">MAX(Y53,0)</f>
        <v>278.79659333269279</v>
      </c>
      <c r="AA51" s="3">
        <f t="shared" ref="AA51" ca="1" si="153">MAX(Z53,0)</f>
        <v>218.64706615604507</v>
      </c>
      <c r="AB51" s="3">
        <f t="shared" ref="AB51" ca="1" si="154">MAX(AA53,0)</f>
        <v>152.49884939718527</v>
      </c>
      <c r="AC51" s="3">
        <f t="shared" ref="AC51" ca="1" si="155">MAX(AB53,0)</f>
        <v>79.753696014236212</v>
      </c>
    </row>
    <row r="52" spans="2:29" hidden="1" outlineLevel="1" x14ac:dyDescent="0.2">
      <c r="B52" t="b">
        <f ca="1">-SUM(E52:X52)=E51</f>
        <v>0</v>
      </c>
      <c r="C52" t="s">
        <v>12</v>
      </c>
      <c r="E52" s="3">
        <f ca="1">-(MIN($E51*E$48,E51)*(E51&gt;0))</f>
        <v>-8.1701086750428367</v>
      </c>
      <c r="F52" s="3">
        <f t="shared" ref="E52:Q52" ca="1" si="156">-(MIN($E51*F$48,F51)*(F51&gt;0))</f>
        <v>-8.9849105212915568</v>
      </c>
      <c r="G52" s="3">
        <f t="shared" ca="1" si="156"/>
        <v>-9.8809722473113162</v>
      </c>
      <c r="H52" s="3">
        <f t="shared" ca="1" si="156"/>
        <v>-10.866397870159522</v>
      </c>
      <c r="I52" s="3">
        <f t="shared" ca="1" si="156"/>
        <v>-11.950099617447812</v>
      </c>
      <c r="J52" s="3">
        <f t="shared" ca="1" si="156"/>
        <v>-13.141878529874768</v>
      </c>
      <c r="K52" s="3">
        <f t="shared" ca="1" si="156"/>
        <v>-14.452513102218717</v>
      </c>
      <c r="L52" s="3">
        <f t="shared" ca="1" si="156"/>
        <v>-15.893856764463193</v>
      </c>
      <c r="M52" s="3">
        <f t="shared" ca="1" si="156"/>
        <v>-17.478945084678152</v>
      </c>
      <c r="N52" s="3">
        <f t="shared" ca="1" si="156"/>
        <v>-19.222113663203952</v>
      </c>
      <c r="O52" s="3">
        <f t="shared" ca="1" si="156"/>
        <v>-21.139127784377706</v>
      </c>
      <c r="P52" s="3">
        <f t="shared" ca="1" si="156"/>
        <v>-23.24732499837722</v>
      </c>
      <c r="Q52" s="3">
        <f t="shared" ca="1" si="156"/>
        <v>-25.565771922698268</v>
      </c>
      <c r="R52" s="3">
        <f ca="1">-(MIN($E51*R$48,R51)*(R51&gt;0))</f>
        <v>-28.115436681383866</v>
      </c>
      <c r="S52" s="3">
        <f t="shared" ref="S52:X52" ca="1" si="157">-(MIN($E51*S$48,S51)*(S51&gt;0))</f>
        <v>-30.919378541552629</v>
      </c>
      <c r="T52" s="3">
        <f t="shared" ca="1" si="157"/>
        <v>-34.002956462306301</v>
      </c>
      <c r="U52" s="3">
        <f t="shared" ca="1" si="157"/>
        <v>-37.394058442140945</v>
      </c>
      <c r="V52" s="3">
        <f t="shared" ca="1" si="157"/>
        <v>-41.123353739088657</v>
      </c>
      <c r="W52" s="3">
        <f t="shared" ca="1" si="157"/>
        <v>-45.224570244678517</v>
      </c>
      <c r="X52" s="3">
        <f t="shared" ca="1" si="157"/>
        <v>-49.734799520297763</v>
      </c>
      <c r="Y52" s="3">
        <f t="shared" ref="Y52" ca="1" si="158">-(MIN($E51*Y$48,Y51)*(Y51&gt;0))</f>
        <v>-54.694832254713752</v>
      </c>
      <c r="Z52" s="3">
        <f t="shared" ref="Z52" ca="1" si="159">-(MIN($E51*Z$48,Z51)*(Z51&gt;0))</f>
        <v>-60.149527176647709</v>
      </c>
      <c r="AA52" s="3">
        <f t="shared" ref="AA52" ca="1" si="160">-(MIN($E51*AA$48,AA51)*(AA51&gt;0))</f>
        <v>-66.148216758859803</v>
      </c>
      <c r="AB52" s="3">
        <f t="shared" ref="AB52" ca="1" si="161">-(MIN($E51*AB$48,AB51)*(AB51&gt;0))</f>
        <v>-72.745153382949056</v>
      </c>
      <c r="AC52" s="3">
        <f t="shared" ref="AC52" ca="1" si="162">-(MIN($E51*AC$48,AC51)*(AC51&gt;0))</f>
        <v>-79.753696014236212</v>
      </c>
    </row>
    <row r="53" spans="2:29" hidden="1" outlineLevel="1" x14ac:dyDescent="0.2">
      <c r="C53" t="s">
        <v>14</v>
      </c>
      <c r="D53" s="3">
        <f>D4</f>
        <v>800</v>
      </c>
      <c r="E53" s="3">
        <f ca="1">SUM(E51:E52)</f>
        <v>791.8298913249572</v>
      </c>
      <c r="F53" s="3">
        <f t="shared" ref="F53:N53" ca="1" si="163">SUM(F51:F52)</f>
        <v>782.84498080366563</v>
      </c>
      <c r="G53" s="3">
        <f t="shared" ca="1" si="163"/>
        <v>772.96400855635432</v>
      </c>
      <c r="H53" s="3">
        <f t="shared" ca="1" si="163"/>
        <v>762.0976106861948</v>
      </c>
      <c r="I53" s="3">
        <f t="shared" ca="1" si="163"/>
        <v>750.14751106874701</v>
      </c>
      <c r="J53" s="3">
        <f t="shared" ca="1" si="163"/>
        <v>737.00563253887219</v>
      </c>
      <c r="K53" s="3">
        <f t="shared" ca="1" si="163"/>
        <v>722.55311943665345</v>
      </c>
      <c r="L53" s="3">
        <f t="shared" ca="1" si="163"/>
        <v>706.65926267219027</v>
      </c>
      <c r="M53" s="3">
        <f t="shared" ca="1" si="163"/>
        <v>689.18031758751215</v>
      </c>
      <c r="N53" s="3">
        <f t="shared" ca="1" si="163"/>
        <v>669.95820392430824</v>
      </c>
      <c r="O53" s="3">
        <f t="shared" ref="O53" ca="1" si="164">SUM(O51:O52)</f>
        <v>648.81907613993053</v>
      </c>
      <c r="P53" s="3">
        <f t="shared" ref="P53" ca="1" si="165">SUM(P51:P52)</f>
        <v>625.57175114155336</v>
      </c>
      <c r="Q53" s="3">
        <f t="shared" ref="Q53" ca="1" si="166">SUM(Q51:Q52)</f>
        <v>600.00597921885515</v>
      </c>
      <c r="R53" s="3">
        <f t="shared" ref="R53" ca="1" si="167">SUM(R51:R52)</f>
        <v>571.89054253747133</v>
      </c>
      <c r="S53" s="3">
        <f t="shared" ref="S53" ca="1" si="168">SUM(S51:S52)</f>
        <v>540.97116399591869</v>
      </c>
      <c r="T53" s="3">
        <f t="shared" ref="T53" ca="1" si="169">SUM(T51:T52)</f>
        <v>506.96820753361237</v>
      </c>
      <c r="U53" s="3">
        <f t="shared" ref="U53" ca="1" si="170">SUM(U51:U52)</f>
        <v>469.57414909147144</v>
      </c>
      <c r="V53" s="3">
        <f t="shared" ref="V53" ca="1" si="171">SUM(V51:V52)</f>
        <v>428.45079535238278</v>
      </c>
      <c r="W53" s="3">
        <f t="shared" ref="W53" ca="1" si="172">SUM(W51:W52)</f>
        <v>383.22622510770429</v>
      </c>
      <c r="X53" s="3">
        <f t="shared" ref="X53:AC53" ca="1" si="173">SUM(X51:X52)</f>
        <v>333.49142558740652</v>
      </c>
      <c r="Y53" s="3">
        <f t="shared" ca="1" si="173"/>
        <v>278.79659333269279</v>
      </c>
      <c r="Z53" s="3">
        <f t="shared" ca="1" si="173"/>
        <v>218.64706615604507</v>
      </c>
      <c r="AA53" s="3">
        <f t="shared" ca="1" si="173"/>
        <v>152.49884939718527</v>
      </c>
      <c r="AB53" s="3">
        <f t="shared" ca="1" si="173"/>
        <v>79.753696014236212</v>
      </c>
      <c r="AC53" s="3">
        <f t="shared" ca="1" si="173"/>
        <v>0</v>
      </c>
    </row>
    <row r="54" spans="2:29" hidden="1" outlineLevel="1" x14ac:dyDescent="0.2">
      <c r="B54" s="5">
        <f>D7</f>
        <v>0.05</v>
      </c>
      <c r="C54" t="s">
        <v>4</v>
      </c>
      <c r="E54" s="3">
        <f>E51*$B$54*E$12</f>
        <v>40</v>
      </c>
      <c r="F54" s="3">
        <f t="shared" ref="F54:N54" ca="1" si="174">F51*$B$54*F$12</f>
        <v>39.59149456624786</v>
      </c>
      <c r="G54" s="3">
        <f t="shared" ca="1" si="174"/>
        <v>39.142249040183287</v>
      </c>
      <c r="H54" s="3">
        <f t="shared" ca="1" si="174"/>
        <v>38.64820042781772</v>
      </c>
      <c r="I54" s="3">
        <f t="shared" ca="1" si="174"/>
        <v>38.104880534309743</v>
      </c>
      <c r="J54" s="3">
        <f t="shared" ca="1" si="174"/>
        <v>37.507375553437349</v>
      </c>
      <c r="K54" s="3">
        <f t="shared" ca="1" si="174"/>
        <v>36.850281626943612</v>
      </c>
      <c r="L54" s="3">
        <f t="shared" ca="1" si="174"/>
        <v>36.127655971832674</v>
      </c>
      <c r="M54" s="3">
        <f t="shared" ca="1" si="174"/>
        <v>35.332963133609518</v>
      </c>
      <c r="N54" s="3">
        <f t="shared" ca="1" si="174"/>
        <v>34.459015879375606</v>
      </c>
      <c r="O54" s="3">
        <f t="shared" ref="O54:X54" ca="1" si="175">O51*$B$54*O$12</f>
        <v>33.497910196215415</v>
      </c>
      <c r="P54" s="3">
        <f t="shared" ca="1" si="175"/>
        <v>32.440953806996525</v>
      </c>
      <c r="Q54" s="3">
        <f t="shared" ca="1" si="175"/>
        <v>31.278587557077671</v>
      </c>
      <c r="R54" s="3">
        <f t="shared" ca="1" si="175"/>
        <v>30.000298960942757</v>
      </c>
      <c r="S54" s="3">
        <f t="shared" ca="1" si="175"/>
        <v>28.594527126873569</v>
      </c>
      <c r="T54" s="3">
        <f t="shared" ca="1" si="175"/>
        <v>27.048558199795934</v>
      </c>
      <c r="U54" s="3">
        <f t="shared" ca="1" si="175"/>
        <v>25.348410376680619</v>
      </c>
      <c r="V54" s="3">
        <f t="shared" ca="1" si="175"/>
        <v>23.478707454573573</v>
      </c>
      <c r="W54" s="3">
        <f t="shared" ca="1" si="175"/>
        <v>21.422539767619142</v>
      </c>
      <c r="X54" s="3">
        <f t="shared" ca="1" si="175"/>
        <v>19.161311255385215</v>
      </c>
      <c r="Y54" s="3">
        <f t="shared" ref="Y54:AC54" ca="1" si="176">Y51*$B$54*Y$12</f>
        <v>16.674571279370326</v>
      </c>
      <c r="Z54" s="3">
        <f t="shared" ca="1" si="176"/>
        <v>13.93982966663464</v>
      </c>
      <c r="AA54" s="3">
        <f t="shared" ca="1" si="176"/>
        <v>10.932353307802254</v>
      </c>
      <c r="AB54" s="3">
        <f t="shared" ca="1" si="176"/>
        <v>7.6249424698592634</v>
      </c>
      <c r="AC54" s="3">
        <f t="shared" ca="1" si="176"/>
        <v>3.9876848007118109</v>
      </c>
    </row>
    <row r="55" spans="2:29" collapsed="1" x14ac:dyDescent="0.2"/>
    <row r="56" spans="2:29" x14ac:dyDescent="0.2">
      <c r="C56" s="12" t="s">
        <v>10</v>
      </c>
    </row>
    <row r="57" spans="2:29" outlineLevel="1" x14ac:dyDescent="0.2">
      <c r="C57" t="s">
        <v>18</v>
      </c>
      <c r="D57" s="3">
        <f>-D5</f>
        <v>-200</v>
      </c>
    </row>
    <row r="58" spans="2:29" outlineLevel="1" x14ac:dyDescent="0.2">
      <c r="C58" t="s">
        <v>19</v>
      </c>
      <c r="E58" s="3">
        <f ca="1">E31</f>
        <v>12.042527168760717</v>
      </c>
      <c r="F58" s="3">
        <f t="shared" ref="F58:N58" ca="1" si="177">F31</f>
        <v>12.144101271884846</v>
      </c>
      <c r="G58" s="3">
        <f t="shared" ca="1" si="177"/>
        <v>12.255805321873648</v>
      </c>
      <c r="H58" s="3">
        <f t="shared" ca="1" si="177"/>
        <v>14.404246777593395</v>
      </c>
      <c r="I58" s="3">
        <f t="shared" ca="1" si="177"/>
        <v>16.609152504901367</v>
      </c>
      <c r="J58" s="3">
        <f t="shared" ca="1" si="177"/>
        <v>18.878358340143606</v>
      </c>
      <c r="K58" s="3">
        <f t="shared" ca="1" si="177"/>
        <v>21.220701456153492</v>
      </c>
      <c r="L58" s="3">
        <f t="shared" ca="1" si="177"/>
        <v>23.632660429962449</v>
      </c>
      <c r="M58" s="3">
        <f t="shared" ca="1" si="177"/>
        <v>26.102763750821453</v>
      </c>
      <c r="N58" s="3">
        <f t="shared" ca="1" si="177"/>
        <v>28.629147819018382</v>
      </c>
      <c r="O58" s="3">
        <f t="shared" ref="O58:X58" ca="1" si="178">O31</f>
        <v>15.504876216314074</v>
      </c>
      <c r="P58" s="3">
        <f t="shared" ca="1" si="178"/>
        <v>16.714322523464741</v>
      </c>
      <c r="Q58" s="3">
        <f t="shared" ca="1" si="178"/>
        <v>17.893898432795233</v>
      </c>
      <c r="R58" s="3">
        <f t="shared" ca="1" si="178"/>
        <v>19.034327885485528</v>
      </c>
      <c r="S58" s="3">
        <f t="shared" ca="1" si="178"/>
        <v>20.125152289575173</v>
      </c>
      <c r="T58" s="3">
        <f t="shared" ca="1" si="178"/>
        <v>21.154602177938784</v>
      </c>
      <c r="U58" s="3">
        <f t="shared" ca="1" si="178"/>
        <v>22.109455648201646</v>
      </c>
      <c r="V58" s="3">
        <f t="shared" ca="1" si="178"/>
        <v>22.974882249576552</v>
      </c>
      <c r="W58" s="3">
        <f t="shared" ca="1" si="178"/>
        <v>23.734270847790157</v>
      </c>
      <c r="X58" s="3">
        <f t="shared" ca="1" si="178"/>
        <v>24.36903985208064</v>
      </c>
      <c r="Y58" s="3">
        <f t="shared" ref="Y58:AC58" ca="1" si="179">Y31</f>
        <v>24.858428026357963</v>
      </c>
      <c r="Z58" s="3">
        <f t="shared" ca="1" si="179"/>
        <v>25.179263928549929</v>
      </c>
      <c r="AA58" s="3">
        <f t="shared" ca="1" si="179"/>
        <v>25.305711826302812</v>
      </c>
      <c r="AB58" s="3">
        <f t="shared" ca="1" si="179"/>
        <v>25.208991721785438</v>
      </c>
      <c r="AC58" s="3">
        <f t="shared" ca="1" si="179"/>
        <v>25.103374867173457</v>
      </c>
    </row>
    <row r="59" spans="2:29" outlineLevel="1" x14ac:dyDescent="0.2">
      <c r="C59" t="s">
        <v>14</v>
      </c>
      <c r="D59" s="3">
        <f>SUM(D57:D58)</f>
        <v>-200</v>
      </c>
      <c r="E59" s="3">
        <f t="shared" ref="E59:N59" ca="1" si="180">SUM(E57:E58)</f>
        <v>12.042527168760717</v>
      </c>
      <c r="F59" s="3">
        <f t="shared" ca="1" si="180"/>
        <v>12.144101271884846</v>
      </c>
      <c r="G59" s="3">
        <f t="shared" ca="1" si="180"/>
        <v>12.255805321873648</v>
      </c>
      <c r="H59" s="3">
        <f t="shared" ca="1" si="180"/>
        <v>14.404246777593395</v>
      </c>
      <c r="I59" s="3">
        <f t="shared" ca="1" si="180"/>
        <v>16.609152504901367</v>
      </c>
      <c r="J59" s="3">
        <f t="shared" ca="1" si="180"/>
        <v>18.878358340143606</v>
      </c>
      <c r="K59" s="3">
        <f t="shared" ca="1" si="180"/>
        <v>21.220701456153492</v>
      </c>
      <c r="L59" s="3">
        <f t="shared" ca="1" si="180"/>
        <v>23.632660429962449</v>
      </c>
      <c r="M59" s="3">
        <f t="shared" ca="1" si="180"/>
        <v>26.102763750821453</v>
      </c>
      <c r="N59" s="3">
        <f t="shared" ca="1" si="180"/>
        <v>28.629147819018382</v>
      </c>
      <c r="O59" s="3">
        <f t="shared" ref="O59" ca="1" si="181">SUM(O57:O58)</f>
        <v>15.504876216314074</v>
      </c>
      <c r="P59" s="3">
        <f t="shared" ref="P59" ca="1" si="182">SUM(P57:P58)</f>
        <v>16.714322523464741</v>
      </c>
      <c r="Q59" s="3">
        <f t="shared" ref="Q59" ca="1" si="183">SUM(Q57:Q58)</f>
        <v>17.893898432795233</v>
      </c>
      <c r="R59" s="3">
        <f t="shared" ref="R59" ca="1" si="184">SUM(R57:R58)</f>
        <v>19.034327885485528</v>
      </c>
      <c r="S59" s="3">
        <f t="shared" ref="S59" ca="1" si="185">SUM(S57:S58)</f>
        <v>20.125152289575173</v>
      </c>
      <c r="T59" s="3">
        <f t="shared" ref="T59" ca="1" si="186">SUM(T57:T58)</f>
        <v>21.154602177938784</v>
      </c>
      <c r="U59" s="3">
        <f t="shared" ref="U59" ca="1" si="187">SUM(U57:U58)</f>
        <v>22.109455648201646</v>
      </c>
      <c r="V59" s="3">
        <f t="shared" ref="V59" ca="1" si="188">SUM(V57:V58)</f>
        <v>22.974882249576552</v>
      </c>
      <c r="W59" s="3">
        <f t="shared" ref="W59" ca="1" si="189">SUM(W57:W58)</f>
        <v>23.734270847790157</v>
      </c>
      <c r="X59" s="3">
        <f t="shared" ref="X59:AC59" ca="1" si="190">SUM(X57:X58)</f>
        <v>24.36903985208064</v>
      </c>
      <c r="Y59" s="3">
        <f t="shared" ca="1" si="190"/>
        <v>24.858428026357963</v>
      </c>
      <c r="Z59" s="3">
        <f t="shared" ca="1" si="190"/>
        <v>25.179263928549929</v>
      </c>
      <c r="AA59" s="3">
        <f t="shared" ca="1" si="190"/>
        <v>25.305711826302812</v>
      </c>
      <c r="AB59" s="3">
        <f t="shared" ca="1" si="190"/>
        <v>25.208991721785438</v>
      </c>
      <c r="AC59" s="3">
        <f t="shared" ca="1" si="190"/>
        <v>25.103374867173457</v>
      </c>
    </row>
    <row r="60" spans="2:29" outlineLevel="1" collapsed="1" x14ac:dyDescent="0.2">
      <c r="C60" t="s">
        <v>20</v>
      </c>
      <c r="E60" s="9">
        <f ca="1">XIRR($D59:E59,$D11:E11)</f>
        <v>-0.93978736475110036</v>
      </c>
      <c r="F60" s="9">
        <f ca="1">XIRR($D59:F59,$D11:F11)</f>
        <v>-0.72121766582131386</v>
      </c>
      <c r="G60" s="9">
        <f ca="1">XIRR($D59:G59,$D11:G11)</f>
        <v>-0.53095203451812267</v>
      </c>
      <c r="H60" s="9">
        <f ca="1">XIRR($D59:H59,$D11:H11)</f>
        <v>-0.37984364740550514</v>
      </c>
      <c r="I60" s="9">
        <f ca="1">XIRR($D59:I59,$D11:I11)</f>
        <v>-0.26827235892415047</v>
      </c>
      <c r="J60" s="9">
        <f ca="1">XIRR($D59:J59,$D11:J11)</f>
        <v>-0.18584420010447505</v>
      </c>
      <c r="K60" s="9">
        <f ca="1">XIRR($D59:K59,$D11:K11)</f>
        <v>-0.12404366023838517</v>
      </c>
      <c r="L60" s="9">
        <f ca="1">XIRR($D59:L59,$D11:L11)</f>
        <v>-7.6853945851326003E-2</v>
      </c>
      <c r="M60" s="9">
        <f ca="1">XIRR($D59:M59,$D11:M11)</f>
        <v>-4.020309746265413E-2</v>
      </c>
      <c r="N60" s="9">
        <f ca="1">XIRR($D59:N59,$D11:N11)</f>
        <v>-1.1293646693229676E-2</v>
      </c>
      <c r="O60" s="9">
        <f ca="1">XIRR($D59:O59,$D11:O11)</f>
        <v>1.0543137788772588E-3</v>
      </c>
      <c r="P60" s="9">
        <f ca="1">XIRR($D59:P59,$D11:P11)</f>
        <v>1.2335941195487976E-2</v>
      </c>
      <c r="Q60" s="9">
        <f ca="1">XIRR($D59:Q59,$D11:Q11)</f>
        <v>2.2464588284492496E-2</v>
      </c>
      <c r="R60" s="9">
        <f ca="1">XIRR($D59:R59,$D11:R11)</f>
        <v>3.1453028321266174E-2</v>
      </c>
      <c r="S60" s="9">
        <f ca="1">XIRR($D59:S59,$D11:S11)</f>
        <v>3.9371028542518616E-2</v>
      </c>
      <c r="T60" s="9">
        <f ca="1">XIRR($D59:T59,$D11:T11)</f>
        <v>4.6313461661338803E-2</v>
      </c>
      <c r="U60" s="9">
        <f ca="1">XIRR($D59:U59,$D11:U11)</f>
        <v>5.2382525801658628E-2</v>
      </c>
      <c r="V60" s="9">
        <f ca="1">XIRR($D59:V59,$D11:V11)</f>
        <v>5.7676967978477475E-2</v>
      </c>
      <c r="W60" s="9">
        <f ca="1">XIRR($D59:W59,$D11:W11)</f>
        <v>6.228959262371063E-2</v>
      </c>
      <c r="X60" s="9">
        <f ca="1">XIRR($D59:X59,$D11:X11)</f>
        <v>6.6302892565727231E-2</v>
      </c>
      <c r="Y60" s="9">
        <f ca="1">XIRR($D59:Y59,$D11:Y11)</f>
        <v>6.9789472222328189E-2</v>
      </c>
      <c r="Z60" s="9">
        <f ca="1">XIRR($D59:Z59,$D11:Z11)</f>
        <v>7.2811999917030357E-2</v>
      </c>
      <c r="AA60" s="9">
        <f ca="1">XIRR($D59:AA59,$D11:AA11)</f>
        <v>7.5425741076469419E-2</v>
      </c>
      <c r="AB60" s="9">
        <f ca="1">XIRR($D59:AB59,$D11:AB11)</f>
        <v>7.7677670121192949E-2</v>
      </c>
      <c r="AC60" s="9">
        <f ca="1">XIRR($D59:AC59,$D11:AC11)</f>
        <v>7.9626610875129719E-2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Sheet1!E22:X22</xm:f>
              <xm:sqref>A22</xm:sqref>
            </x14:sparkline>
            <x14:sparkline>
              <xm:f>Sheet1!E23:X23</xm:f>
              <xm:sqref>A23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Sheet1!E46:X46</xm:f>
              <xm:sqref>A46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Sheet1!E45:X45</xm:f>
              <xm:sqref>A45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Veiga</dc:creator>
  <cp:lastModifiedBy>Victor Veiga</cp:lastModifiedBy>
  <dcterms:created xsi:type="dcterms:W3CDTF">2015-12-25T23:19:57Z</dcterms:created>
  <dcterms:modified xsi:type="dcterms:W3CDTF">2015-12-29T22:10:44Z</dcterms:modified>
</cp:coreProperties>
</file>